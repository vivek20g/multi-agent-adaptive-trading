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202300"/>
  <mc:AlternateContent xmlns:mc="http://schemas.openxmlformats.org/markup-compatibility/2006">
    <mc:Choice Requires="x15">
      <x15ac:absPath xmlns:x15ac="http://schemas.microsoft.com/office/spreadsheetml/2010/11/ac" url="/Users/vivekgupta/Downloads/"/>
    </mc:Choice>
  </mc:AlternateContent>
  <xr:revisionPtr revIDLastSave="0" documentId="13_ncr:1_{596AF4F2-A439-4E4D-9F1F-B15AA6295622}" xr6:coauthVersionLast="47" xr6:coauthVersionMax="47" xr10:uidLastSave="{00000000-0000-0000-0000-000000000000}"/>
  <bookViews>
    <workbookView xWindow="0" yWindow="760" windowWidth="29400" windowHeight="17220" activeTab="4" xr2:uid="{D1A082BD-02AB-A944-8629-CB910A524EAB}"/>
  </bookViews>
  <sheets>
    <sheet name="MacroIndicators" sheetId="1" r:id="rId1"/>
    <sheet name="SectorProspects" sheetId="2" r:id="rId2"/>
    <sheet name="SectorMedianValues" sheetId="6" r:id="rId3"/>
    <sheet name="SectorStockMapping" sheetId="3" r:id="rId4"/>
    <sheet name="CompanyFundamentalsData" sheetId="4" r:id="rId5"/>
    <sheet name="CompanyEarningsCall" sheetId="7" r:id="rId6"/>
    <sheet name="CompanyValuation" sheetId="8" r:id="rId7"/>
    <sheet name="Sheet5" sheetId="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8" l="1"/>
  <c r="E3" i="8" s="1"/>
  <c r="AC181" i="5"/>
  <c r="AC169" i="5"/>
  <c r="AC193" i="5"/>
  <c r="AD13" i="5"/>
  <c r="AC13" i="5"/>
  <c r="AC73" i="5"/>
  <c r="AC4" i="5"/>
  <c r="AC3" i="5"/>
  <c r="AB261" i="5"/>
  <c r="AB253" i="5"/>
  <c r="AB241" i="5"/>
  <c r="AB229" i="5"/>
  <c r="AB217" i="5"/>
  <c r="AB205" i="5"/>
  <c r="AB193" i="5"/>
  <c r="AB181" i="5"/>
  <c r="AB169" i="5"/>
  <c r="AB157" i="5"/>
  <c r="AB145" i="5"/>
  <c r="AB133" i="5"/>
  <c r="AB121" i="5"/>
  <c r="AB109" i="5"/>
  <c r="AB97" i="5"/>
  <c r="AB85" i="5"/>
  <c r="AB73" i="5"/>
  <c r="AB61" i="5"/>
  <c r="AB49" i="5"/>
  <c r="AB37" i="5"/>
  <c r="AB25" i="5"/>
  <c r="AB13" i="5"/>
  <c r="R3" i="5" l="1"/>
  <c r="R4" i="5"/>
  <c r="R5" i="5"/>
  <c r="R6" i="5"/>
  <c r="R7" i="5"/>
  <c r="R8" i="5"/>
  <c r="R9" i="5"/>
  <c r="R10" i="5"/>
  <c r="R11" i="5"/>
  <c r="R12" i="5"/>
  <c r="R13" i="5"/>
  <c r="R14" i="5"/>
  <c r="R15" i="5"/>
  <c r="R16" i="5"/>
  <c r="R17" i="5"/>
  <c r="R18" i="5"/>
  <c r="R2" i="5"/>
  <c r="Q18" i="5"/>
  <c r="Q5" i="5"/>
  <c r="Q6" i="5"/>
  <c r="Q7" i="5"/>
  <c r="Q8" i="5"/>
  <c r="Q9" i="5"/>
  <c r="Q10" i="5"/>
  <c r="Q11" i="5"/>
  <c r="Q12" i="5"/>
  <c r="Q13" i="5"/>
  <c r="Q14" i="5"/>
  <c r="Q15" i="5"/>
  <c r="Q16" i="5"/>
  <c r="Q17" i="5"/>
  <c r="Q4" i="5"/>
  <c r="Q3" i="5"/>
  <c r="Q2" i="5"/>
  <c r="N5" i="5"/>
  <c r="A2" i="6" l="1"/>
  <c r="K7" i="5"/>
  <c r="J7" i="5"/>
  <c r="I7" i="5"/>
  <c r="H7" i="5"/>
  <c r="G7" i="5"/>
  <c r="F7" i="5"/>
  <c r="E7" i="5"/>
  <c r="D7" i="5"/>
  <c r="C7" i="5"/>
  <c r="B7" i="5"/>
  <c r="A7" i="5"/>
  <c r="L7" i="5"/>
  <c r="L6" i="5"/>
  <c r="K6" i="5"/>
  <c r="J6" i="5"/>
  <c r="I6" i="5"/>
  <c r="H6" i="5"/>
  <c r="G6" i="5"/>
  <c r="F6" i="5"/>
  <c r="E6" i="5"/>
  <c r="D6" i="5"/>
  <c r="C6" i="5"/>
  <c r="B6" i="5"/>
  <c r="L4" i="5"/>
  <c r="K4" i="5"/>
  <c r="J4" i="5"/>
  <c r="I4" i="5"/>
  <c r="H4" i="5"/>
  <c r="G4" i="5"/>
  <c r="F4" i="5"/>
  <c r="E4" i="5"/>
  <c r="D4" i="5"/>
  <c r="C4" i="5"/>
  <c r="B4" i="5"/>
  <c r="C2" i="5"/>
  <c r="D2" i="5"/>
  <c r="E2" i="5"/>
  <c r="F2" i="5"/>
  <c r="G2" i="5"/>
  <c r="H2" i="5"/>
  <c r="I2" i="5"/>
  <c r="J2" i="5"/>
  <c r="K2" i="5"/>
  <c r="L2" i="5"/>
  <c r="B2" i="5"/>
  <c r="A4" i="2"/>
  <c r="A3" i="2"/>
  <c r="A2" i="2"/>
</calcChain>
</file>

<file path=xl/sharedStrings.xml><?xml version="1.0" encoding="utf-8"?>
<sst xmlns="http://schemas.openxmlformats.org/spreadsheetml/2006/main" count="220" uniqueCount="115">
  <si>
    <t>Macroeconomic_Factor</t>
  </si>
  <si>
    <t>Value</t>
  </si>
  <si>
    <t>India Monetary Policy Repo Rate</t>
  </si>
  <si>
    <t>India Fiscal Deficit</t>
  </si>
  <si>
    <t>USD/INR</t>
  </si>
  <si>
    <t>Indian Rupee Appreciating</t>
  </si>
  <si>
    <t>BlackRock Geopolitical Risk Indicator (BGRI)</t>
  </si>
  <si>
    <t>Sector</t>
  </si>
  <si>
    <t>Parameter</t>
  </si>
  <si>
    <t>Outlook</t>
  </si>
  <si>
    <t>Expansionary Monetary Policy</t>
  </si>
  <si>
    <t>Contractionary Fiscal Policy</t>
  </si>
  <si>
    <t>Fast Growing</t>
  </si>
  <si>
    <t>Neutral and Not Rising</t>
  </si>
  <si>
    <t>Positive and Under Control</t>
  </si>
  <si>
    <t>Volatile and High Risk</t>
  </si>
  <si>
    <t>NSE_Symbol</t>
  </si>
  <si>
    <t>RELIANCE</t>
  </si>
  <si>
    <t>HDFCBANK</t>
  </si>
  <si>
    <t>TCS</t>
  </si>
  <si>
    <t>BHARTIARTL</t>
  </si>
  <si>
    <t>ICICIBANK</t>
  </si>
  <si>
    <t>SBIN</t>
  </si>
  <si>
    <t>INFY</t>
  </si>
  <si>
    <t>BAJFINANCE</t>
  </si>
  <si>
    <t>HINDUNILVR</t>
  </si>
  <si>
    <t>LICI</t>
  </si>
  <si>
    <t>ITC</t>
  </si>
  <si>
    <t>LT</t>
  </si>
  <si>
    <t>HCLTECH</t>
  </si>
  <si>
    <t>SUNPHARMA</t>
  </si>
  <si>
    <t>KOTAKBANK</t>
  </si>
  <si>
    <t>MARUTI</t>
  </si>
  <si>
    <t>M&amp;M</t>
  </si>
  <si>
    <t>AXISBANK</t>
  </si>
  <si>
    <t>ULTRACEMCO</t>
  </si>
  <si>
    <t>HAL</t>
  </si>
  <si>
    <t>NTPC</t>
  </si>
  <si>
    <t>BAJAJFINSV</t>
  </si>
  <si>
    <t>TITAN</t>
  </si>
  <si>
    <t>ONGC</t>
  </si>
  <si>
    <t>ADANIPORTS</t>
  </si>
  <si>
    <t>ADANIENT</t>
  </si>
  <si>
    <t>BEL</t>
  </si>
  <si>
    <t>POWERGRID</t>
  </si>
  <si>
    <t>DMART</t>
  </si>
  <si>
    <t>Revenue_Share</t>
  </si>
  <si>
    <t>OIL TO CHEMICALS, RETAIL, DIGITAL SERVICES BUSINESS</t>
  </si>
  <si>
    <t>57, 23, 11</t>
  </si>
  <si>
    <t>INFORMATION TECHNOLOGY SERVICS</t>
  </si>
  <si>
    <t>TELECOMMUNICATION</t>
  </si>
  <si>
    <t>PUBLIC SECTOR BANK</t>
  </si>
  <si>
    <t>PRIVATE SECTOR BANK</t>
  </si>
  <si>
    <t>NON BANKING FINANCIAL SERVICES</t>
  </si>
  <si>
    <t>FMCG</t>
  </si>
  <si>
    <t>LIFE INSURANCE</t>
  </si>
  <si>
    <t>FMCG, AGRI BUSINESS</t>
  </si>
  <si>
    <t>68, 18</t>
  </si>
  <si>
    <t>INFRASTRUCTURE, HYDROCARBON(EPC)</t>
  </si>
  <si>
    <t>52,14</t>
  </si>
  <si>
    <t>PHARMACEUTICAL</t>
  </si>
  <si>
    <t>Return_On_Equity</t>
  </si>
  <si>
    <t>Dividend_Yield</t>
  </si>
  <si>
    <t>Price_To_Earnings_Ratio</t>
  </si>
  <si>
    <t>Sales_Growth_Last_5_Years</t>
  </si>
  <si>
    <t>PAT_Growth_Last 5_Years</t>
  </si>
  <si>
    <t>EPS_Growth_Last_5_Years</t>
  </si>
  <si>
    <t>Price_To_Book_Ratio</t>
  </si>
  <si>
    <t>Debt_To_Equity_Ratio</t>
  </si>
  <si>
    <t>Profit_Margin_Last_5_Years</t>
  </si>
  <si>
    <t>PE_To_Earnings_Growth_Ratio</t>
  </si>
  <si>
    <t>India Real GDP Expected Growth</t>
  </si>
  <si>
    <t>India Current Retail Inflation</t>
  </si>
  <si>
    <t>India CurrentUnemployment Rate</t>
  </si>
  <si>
    <t>6.5%</t>
  </si>
  <si>
    <t>4.6%</t>
  </si>
  <si>
    <t>5.6%</t>
  </si>
  <si>
    <t>5.5%</t>
  </si>
  <si>
    <t>4.4%</t>
  </si>
  <si>
    <t>1.43</t>
  </si>
  <si>
    <t>22.45%</t>
  </si>
  <si>
    <t>21.05%</t>
  </si>
  <si>
    <t>13.43%</t>
  </si>
  <si>
    <t>2.94</t>
  </si>
  <si>
    <t>14.5%</t>
  </si>
  <si>
    <t>1.11%</t>
  </si>
  <si>
    <t>6.46</t>
  </si>
  <si>
    <t>24.96%</t>
  </si>
  <si>
    <t>14%</t>
  </si>
  <si>
    <t>11%</t>
  </si>
  <si>
    <t>2.6%</t>
  </si>
  <si>
    <t>10.57%</t>
  </si>
  <si>
    <t>21.04%</t>
  </si>
  <si>
    <t>13.21</t>
  </si>
  <si>
    <t>0.85%</t>
  </si>
  <si>
    <t>17.89%</t>
  </si>
  <si>
    <t>Credit Growth Prospects</t>
  </si>
  <si>
    <t>Current Deposit Growth</t>
  </si>
  <si>
    <t>Acceleration in Credit Growth Expected</t>
  </si>
  <si>
    <t>Decline in GNPA (Gross Non Performing Assets) Expected</t>
  </si>
  <si>
    <t>Slowdown in Deposit Growth Expected</t>
  </si>
  <si>
    <t>Gross Non Performing Assets Percentage</t>
  </si>
  <si>
    <t>India's macroeconomic position is favorable, with the Reserve Bank of India (RBI) shifting monetary policy to support GDP growth. Inflation moderation and improved liquidity are positive factors for economic expansion in FY '26, driven by rural spending, discretionary consumer demand, and investment activity. Global trade tensions and tariff-related volatility create uncertainty, affecting corporate sentiment and potentially slowing growth and exports. RBI's strategy to increase durable liquidity and cut rates is expected to support credit growth and economic expansion in the near term.
HDFC Bank's operational and financial performance in Q4 FY '25 has been successful, with a credit-deposit ratio reduced from 110% to approximately 96%. Deposits have grown faster than loans and the overall banking system, allowing more calibrated loan growth. Asset quality remains a key strength for HDFC Bank, with low non-performing assets (NPAs) and prudent credit risk management continuing to differentiate the bank. The bank is focusing on cost control, keeping operating expenses under tight discipline, and significant investments in technology over recent years.
Net Interest Margin (NIM) and Margin Management remain stable within a narrow band, reflecting effective balance sheet and pricing management. Deposit growth remains strong, driven by distribution reach, customer engagement, and quality of relationships rather than rate competition alone. HDFC Bank maintains strong asset quality with stable NPA ratios and conservative credit policies, focusing on customer segments with known risk profiles.</t>
  </si>
  <si>
    <t>Latest_Earnings_Call_Summary</t>
  </si>
  <si>
    <t>Close</t>
  </si>
  <si>
    <t>MAX-LAST 252 Days</t>
  </si>
  <si>
    <t>Max Drawdown</t>
  </si>
  <si>
    <t>BV_FY2030E</t>
  </si>
  <si>
    <t>Multiple_PB_Est</t>
  </si>
  <si>
    <t>Intrinsic_Value</t>
  </si>
  <si>
    <t>Upside_CAGR</t>
  </si>
  <si>
    <t>Growth_Est</t>
  </si>
  <si>
    <t>Date</t>
  </si>
  <si>
    <t>Price</t>
  </si>
  <si>
    <t>Std_Dev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</si>
</sst>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x14ac:knownFonts="1">
    <font>
      <sz val="12"/>
      <color theme="1"/>
      <name val="Aptos Narrow"/>
      <family val="2"/>
      <scheme val="minor"/>
    </font>
    <font>
      <sz val="12"/>
      <color theme="1"/>
      <name val="Aptos Narrow"/>
      <family val="2"/>
      <scheme val="minor"/>
    </font>
    <font>
      <b/>
      <sz val="12"/>
      <color theme="1"/>
      <name val="Aptos Narrow"/>
      <scheme val="minor"/>
    </font>
    <font>
      <b/>
      <sz val="12"/>
      <color rgb="FF000000"/>
      <name val="Aptos Narrow"/>
      <family val="2"/>
      <scheme val="minor"/>
    </font>
    <font>
      <sz val="12"/>
      <color rgb="FF000000"/>
      <name val="Aptos Narrow"/>
      <family val="2"/>
      <scheme val="minor"/>
    </font>
    <font>
      <sz val="12"/>
      <color rgb="FF22222F"/>
      <name val="Arial"/>
      <family val="2"/>
    </font>
    <font>
      <sz val="12"/>
      <color rgb="FF22222F"/>
      <name val="Arial"/>
      <family val="2"/>
    </font>
    <font>
      <sz val="11"/>
      <color theme="1"/>
      <name val="Aptos Narrow"/>
      <family val="2"/>
      <scheme val="minor"/>
    </font>
    <font>
      <sz val="11"/>
      <color rgb="FF22222F"/>
      <name val="Arial"/>
      <family val="2"/>
    </font>
    <font>
      <b/>
      <sz val="11"/>
      <name val="Calibri"/>
      <family val="2"/>
    </font>
    <font>
      <sz val="10"/>
      <color rgb="FF000000"/>
      <name val="Helvetica Neue"/>
      <family val="2"/>
    </font>
    <font>
      <b/>
      <sz val="10"/>
      <color rgb="FF000000"/>
      <name val="Helvetica Neue"/>
      <family val="2"/>
    </font>
  </fonts>
  <fills count="3">
    <fill>
      <patternFill patternType="none"/>
    </fill>
    <fill>
      <patternFill patternType="gray125"/>
    </fill>
    <fill>
      <patternFill patternType="solid">
        <fgColor rgb="FFFFFF00"/>
        <bgColor rgb="FF000000"/>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29">
    <xf numFmtId="0" fontId="0" fillId="0" borderId="0" xfId="0"/>
    <xf numFmtId="0" fontId="2" fillId="0" borderId="0" xfId="0" applyFont="1"/>
    <xf numFmtId="0" fontId="2" fillId="0" borderId="0" xfId="0" applyFont="1" applyAlignment="1">
      <alignment horizontal="center" vertical="center"/>
    </xf>
    <xf numFmtId="0" fontId="0" fillId="0" borderId="0" xfId="0" applyAlignment="1">
      <alignment horizontal="center"/>
    </xf>
    <xf numFmtId="10" fontId="2" fillId="0" borderId="0" xfId="1" applyNumberFormat="1" applyFont="1" applyAlignment="1">
      <alignment horizontal="center" vertical="center"/>
    </xf>
    <xf numFmtId="10" fontId="0" fillId="0" borderId="0" xfId="1" applyNumberFormat="1" applyFont="1" applyAlignment="1">
      <alignment horizontal="center" vertical="center"/>
    </xf>
    <xf numFmtId="0" fontId="3" fillId="2" borderId="0" xfId="0" applyFont="1" applyFill="1" applyAlignment="1">
      <alignment horizontal="left" vertical="center"/>
    </xf>
    <xf numFmtId="0" fontId="4" fillId="0" borderId="0" xfId="0" applyFont="1" applyAlignment="1">
      <alignment horizontal="left" vertical="center"/>
    </xf>
    <xf numFmtId="0" fontId="5" fillId="0" borderId="0" xfId="0" applyFont="1"/>
    <xf numFmtId="10" fontId="0" fillId="0" borderId="0" xfId="1" applyNumberFormat="1" applyFont="1"/>
    <xf numFmtId="2" fontId="0" fillId="0" borderId="0" xfId="0" applyNumberFormat="1"/>
    <xf numFmtId="3" fontId="5" fillId="0" borderId="0" xfId="0" applyNumberFormat="1" applyFont="1"/>
    <xf numFmtId="3" fontId="6" fillId="0" borderId="0" xfId="0" applyNumberFormat="1" applyFont="1"/>
    <xf numFmtId="10" fontId="0" fillId="0" borderId="0" xfId="0" applyNumberFormat="1"/>
    <xf numFmtId="49" fontId="0" fillId="0" borderId="0" xfId="0" applyNumberFormat="1" applyAlignment="1">
      <alignment horizontal="center"/>
    </xf>
    <xf numFmtId="49" fontId="0" fillId="0" borderId="0" xfId="0" applyNumberFormat="1"/>
    <xf numFmtId="49" fontId="0" fillId="0" borderId="0" xfId="1" applyNumberFormat="1" applyFont="1" applyAlignment="1">
      <alignment horizontal="center" vertical="center"/>
    </xf>
    <xf numFmtId="0" fontId="0" fillId="0" borderId="0" xfId="0" applyAlignment="1">
      <alignment wrapText="1"/>
    </xf>
    <xf numFmtId="2" fontId="7" fillId="0" borderId="0" xfId="0" applyNumberFormat="1" applyFont="1"/>
    <xf numFmtId="2" fontId="8" fillId="0" borderId="0" xfId="0" applyNumberFormat="1" applyFont="1"/>
    <xf numFmtId="164" fontId="0" fillId="0" borderId="0" xfId="0" applyNumberFormat="1"/>
    <xf numFmtId="9" fontId="0" fillId="0" borderId="0" xfId="1" applyFont="1"/>
    <xf numFmtId="2" fontId="9" fillId="0" borderId="1" xfId="0" applyNumberFormat="1" applyFont="1" applyBorder="1" applyAlignment="1">
      <alignment horizontal="center" vertical="top"/>
    </xf>
    <xf numFmtId="9" fontId="0" fillId="0" borderId="0" xfId="0" applyNumberFormat="1"/>
    <xf numFmtId="1" fontId="0" fillId="0" borderId="0" xfId="0" applyNumberFormat="1"/>
    <xf numFmtId="0" fontId="11" fillId="0" borderId="0" xfId="0" applyFont="1"/>
    <xf numFmtId="14" fontId="11" fillId="0" borderId="0" xfId="0" applyNumberFormat="1" applyFont="1"/>
    <xf numFmtId="0" fontId="10" fillId="0" borderId="0" xfId="0" applyFont="1"/>
    <xf numFmtId="4" fontId="10" fillId="0" borderId="0" xfId="0"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1A0C1-82DF-5B40-9E1B-9B0C5166A7B5}">
  <dimension ref="A1:C8"/>
  <sheetViews>
    <sheetView workbookViewId="0">
      <selection activeCell="A8" sqref="A8"/>
    </sheetView>
  </sheetViews>
  <sheetFormatPr baseColWidth="10" defaultColWidth="11.1640625" defaultRowHeight="16" x14ac:dyDescent="0.2"/>
  <cols>
    <col min="1" max="1" width="38" style="3" bestFit="1" customWidth="1"/>
    <col min="2" max="2" width="16.1640625" style="3" customWidth="1"/>
    <col min="3" max="3" width="25.1640625" style="3" bestFit="1" customWidth="1"/>
  </cols>
  <sheetData>
    <row r="1" spans="1:3" x14ac:dyDescent="0.2">
      <c r="A1" s="2" t="s">
        <v>0</v>
      </c>
      <c r="B1" s="2" t="s">
        <v>1</v>
      </c>
      <c r="C1" s="2" t="s">
        <v>9</v>
      </c>
    </row>
    <row r="2" spans="1:3" x14ac:dyDescent="0.2">
      <c r="A2" s="3" t="s">
        <v>71</v>
      </c>
      <c r="B2" s="14" t="s">
        <v>74</v>
      </c>
      <c r="C2" s="3" t="s">
        <v>12</v>
      </c>
    </row>
    <row r="3" spans="1:3" x14ac:dyDescent="0.2">
      <c r="A3" s="3" t="s">
        <v>72</v>
      </c>
      <c r="B3" s="14" t="s">
        <v>75</v>
      </c>
      <c r="C3" s="3" t="s">
        <v>14</v>
      </c>
    </row>
    <row r="4" spans="1:3" x14ac:dyDescent="0.2">
      <c r="A4" s="3" t="s">
        <v>73</v>
      </c>
      <c r="B4" s="14" t="s">
        <v>76</v>
      </c>
      <c r="C4" s="3" t="s">
        <v>13</v>
      </c>
    </row>
    <row r="5" spans="1:3" x14ac:dyDescent="0.2">
      <c r="A5" s="3" t="s">
        <v>2</v>
      </c>
      <c r="B5" s="14" t="s">
        <v>77</v>
      </c>
      <c r="C5" s="3" t="s">
        <v>10</v>
      </c>
    </row>
    <row r="6" spans="1:3" x14ac:dyDescent="0.2">
      <c r="A6" s="3" t="s">
        <v>3</v>
      </c>
      <c r="B6" s="14" t="s">
        <v>78</v>
      </c>
      <c r="C6" s="3" t="s">
        <v>11</v>
      </c>
    </row>
    <row r="7" spans="1:3" x14ac:dyDescent="0.2">
      <c r="A7" s="3" t="s">
        <v>4</v>
      </c>
      <c r="B7" s="14">
        <v>85.88</v>
      </c>
      <c r="C7" s="3" t="s">
        <v>5</v>
      </c>
    </row>
    <row r="8" spans="1:3" x14ac:dyDescent="0.2">
      <c r="A8" s="3" t="s">
        <v>6</v>
      </c>
      <c r="B8" s="14">
        <v>0.49</v>
      </c>
      <c r="C8" s="3" t="s">
        <v>15</v>
      </c>
    </row>
  </sheetData>
  <pageMargins left="0.7" right="0.7" top="0.75" bottom="0.75" header="0.3" footer="0.3"/>
  <ignoredErrors>
    <ignoredError sqref="B2:B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374F7-E172-E444-9860-EAAE14F738F0}">
  <dimension ref="A1:D4"/>
  <sheetViews>
    <sheetView workbookViewId="0">
      <selection activeCell="D2" sqref="D2"/>
    </sheetView>
  </sheetViews>
  <sheetFormatPr baseColWidth="10" defaultColWidth="11.1640625" defaultRowHeight="16" x14ac:dyDescent="0.2"/>
  <cols>
    <col min="1" max="1" width="19.6640625" bestFit="1" customWidth="1"/>
    <col min="2" max="2" width="42.33203125" bestFit="1" customWidth="1"/>
    <col min="3" max="3" width="10.83203125" style="5"/>
    <col min="4" max="4" width="47.83203125" bestFit="1" customWidth="1"/>
  </cols>
  <sheetData>
    <row r="1" spans="1:4" x14ac:dyDescent="0.2">
      <c r="A1" s="1" t="s">
        <v>7</v>
      </c>
      <c r="B1" s="1" t="s">
        <v>8</v>
      </c>
      <c r="C1" s="4" t="s">
        <v>1</v>
      </c>
      <c r="D1" s="1" t="s">
        <v>9</v>
      </c>
    </row>
    <row r="2" spans="1:4" x14ac:dyDescent="0.2">
      <c r="A2" t="str">
        <f>SectorStockMapping!B3</f>
        <v>PRIVATE SECTOR BANK</v>
      </c>
      <c r="B2" t="s">
        <v>96</v>
      </c>
      <c r="C2" s="16" t="s">
        <v>88</v>
      </c>
      <c r="D2" t="s">
        <v>98</v>
      </c>
    </row>
    <row r="3" spans="1:4" x14ac:dyDescent="0.2">
      <c r="A3" t="str">
        <f>SectorStockMapping!B3</f>
        <v>PRIVATE SECTOR BANK</v>
      </c>
      <c r="B3" t="s">
        <v>97</v>
      </c>
      <c r="C3" s="16" t="s">
        <v>89</v>
      </c>
      <c r="D3" t="s">
        <v>100</v>
      </c>
    </row>
    <row r="4" spans="1:4" x14ac:dyDescent="0.2">
      <c r="A4" t="str">
        <f>SectorStockMapping!B3</f>
        <v>PRIVATE SECTOR BANK</v>
      </c>
      <c r="B4" t="s">
        <v>101</v>
      </c>
      <c r="C4" s="16" t="s">
        <v>90</v>
      </c>
      <c r="D4" t="s">
        <v>99</v>
      </c>
    </row>
  </sheetData>
  <pageMargins left="0.7" right="0.7" top="0.75" bottom="0.75" header="0.3" footer="0.3"/>
  <ignoredErrors>
    <ignoredError sqref="C2:C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02149-1B28-2B4F-B52A-AEABA30A1FE9}">
  <dimension ref="A1:H2"/>
  <sheetViews>
    <sheetView workbookViewId="0">
      <selection activeCell="D2" sqref="D2"/>
    </sheetView>
  </sheetViews>
  <sheetFormatPr baseColWidth="10" defaultColWidth="11.1640625" defaultRowHeight="16" x14ac:dyDescent="0.2"/>
  <cols>
    <col min="1" max="1" width="19.6640625" bestFit="1" customWidth="1"/>
    <col min="2" max="2" width="21.6640625" bestFit="1" customWidth="1"/>
    <col min="3" max="3" width="25.5" bestFit="1" customWidth="1"/>
    <col min="4" max="4" width="24.6640625" bestFit="1" customWidth="1"/>
    <col min="5" max="5" width="22.83203125" bestFit="1" customWidth="1"/>
    <col min="6" max="6" width="15.6640625" bestFit="1" customWidth="1"/>
    <col min="7" max="7" width="13.1640625" bestFit="1" customWidth="1"/>
    <col min="8" max="8" width="24.5" bestFit="1" customWidth="1"/>
  </cols>
  <sheetData>
    <row r="1" spans="1:8" x14ac:dyDescent="0.2">
      <c r="A1" s="1" t="s">
        <v>7</v>
      </c>
      <c r="B1" s="6" t="s">
        <v>63</v>
      </c>
      <c r="C1" s="6" t="s">
        <v>70</v>
      </c>
      <c r="D1" s="6" t="s">
        <v>64</v>
      </c>
      <c r="E1" s="6" t="s">
        <v>65</v>
      </c>
      <c r="F1" s="6" t="s">
        <v>61</v>
      </c>
      <c r="G1" s="6" t="s">
        <v>62</v>
      </c>
      <c r="H1" s="6" t="s">
        <v>69</v>
      </c>
    </row>
    <row r="2" spans="1:8" x14ac:dyDescent="0.2">
      <c r="A2" t="str">
        <f>SectorStockMapping!B3</f>
        <v>PRIVATE SECTOR BANK</v>
      </c>
      <c r="B2" s="15">
        <v>13.47</v>
      </c>
      <c r="C2" s="15">
        <v>0.77</v>
      </c>
      <c r="D2" s="15" t="s">
        <v>91</v>
      </c>
      <c r="E2" s="15" t="s">
        <v>92</v>
      </c>
      <c r="F2" s="15" t="s">
        <v>93</v>
      </c>
      <c r="G2" s="15" t="s">
        <v>94</v>
      </c>
      <c r="H2" s="15" t="s">
        <v>95</v>
      </c>
    </row>
  </sheetData>
  <pageMargins left="0.7" right="0.7" top="0.75" bottom="0.75" header="0.3" footer="0.3"/>
  <ignoredErrors>
    <ignoredError sqref="D2:H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89672-28EE-484E-9CE6-56C411F342D3}">
  <dimension ref="A1:C501"/>
  <sheetViews>
    <sheetView workbookViewId="0">
      <selection activeCell="C23" sqref="C23"/>
    </sheetView>
  </sheetViews>
  <sheetFormatPr baseColWidth="10" defaultColWidth="11.1640625" defaultRowHeight="16" x14ac:dyDescent="0.2"/>
  <cols>
    <col min="1" max="1" width="12.6640625" bestFit="1" customWidth="1"/>
    <col min="2" max="2" width="47.83203125" bestFit="1" customWidth="1"/>
    <col min="3" max="3" width="13.6640625" style="3" bestFit="1" customWidth="1"/>
  </cols>
  <sheetData>
    <row r="1" spans="1:3" x14ac:dyDescent="0.2">
      <c r="A1" s="6" t="s">
        <v>16</v>
      </c>
      <c r="B1" s="6" t="s">
        <v>7</v>
      </c>
      <c r="C1" s="6" t="s">
        <v>46</v>
      </c>
    </row>
    <row r="2" spans="1:3" x14ac:dyDescent="0.2">
      <c r="A2" s="7" t="s">
        <v>17</v>
      </c>
      <c r="B2" t="s">
        <v>47</v>
      </c>
      <c r="C2" s="3" t="s">
        <v>48</v>
      </c>
    </row>
    <row r="3" spans="1:3" x14ac:dyDescent="0.2">
      <c r="A3" s="7" t="s">
        <v>18</v>
      </c>
      <c r="B3" t="s">
        <v>52</v>
      </c>
      <c r="C3" s="3">
        <v>100</v>
      </c>
    </row>
    <row r="4" spans="1:3" x14ac:dyDescent="0.2">
      <c r="A4" s="7" t="s">
        <v>19</v>
      </c>
      <c r="B4" t="s">
        <v>49</v>
      </c>
      <c r="C4" s="3">
        <v>100</v>
      </c>
    </row>
    <row r="5" spans="1:3" x14ac:dyDescent="0.2">
      <c r="A5" s="7" t="s">
        <v>20</v>
      </c>
      <c r="B5" t="s">
        <v>50</v>
      </c>
      <c r="C5" s="3">
        <v>99</v>
      </c>
    </row>
    <row r="6" spans="1:3" x14ac:dyDescent="0.2">
      <c r="A6" s="7" t="s">
        <v>21</v>
      </c>
      <c r="B6" t="s">
        <v>52</v>
      </c>
      <c r="C6" s="3">
        <v>100</v>
      </c>
    </row>
    <row r="7" spans="1:3" x14ac:dyDescent="0.2">
      <c r="A7" s="7" t="s">
        <v>22</v>
      </c>
      <c r="B7" t="s">
        <v>51</v>
      </c>
      <c r="C7" s="3">
        <v>100</v>
      </c>
    </row>
    <row r="8" spans="1:3" x14ac:dyDescent="0.2">
      <c r="A8" s="7" t="s">
        <v>23</v>
      </c>
      <c r="B8" t="s">
        <v>49</v>
      </c>
      <c r="C8" s="3">
        <v>100</v>
      </c>
    </row>
    <row r="9" spans="1:3" x14ac:dyDescent="0.2">
      <c r="A9" s="7" t="s">
        <v>24</v>
      </c>
      <c r="B9" t="s">
        <v>53</v>
      </c>
      <c r="C9" s="3">
        <v>100</v>
      </c>
    </row>
    <row r="10" spans="1:3" x14ac:dyDescent="0.2">
      <c r="A10" s="7" t="s">
        <v>25</v>
      </c>
      <c r="B10" t="s">
        <v>54</v>
      </c>
      <c r="C10" s="3">
        <v>100</v>
      </c>
    </row>
    <row r="11" spans="1:3" x14ac:dyDescent="0.2">
      <c r="A11" s="7" t="s">
        <v>26</v>
      </c>
      <c r="B11" t="s">
        <v>55</v>
      </c>
      <c r="C11" s="3">
        <v>100</v>
      </c>
    </row>
    <row r="12" spans="1:3" x14ac:dyDescent="0.2">
      <c r="A12" s="7" t="s">
        <v>27</v>
      </c>
      <c r="B12" t="s">
        <v>56</v>
      </c>
      <c r="C12" s="3" t="s">
        <v>57</v>
      </c>
    </row>
    <row r="13" spans="1:3" x14ac:dyDescent="0.2">
      <c r="A13" s="7" t="s">
        <v>28</v>
      </c>
      <c r="B13" t="s">
        <v>58</v>
      </c>
      <c r="C13" s="3" t="s">
        <v>59</v>
      </c>
    </row>
    <row r="14" spans="1:3" x14ac:dyDescent="0.2">
      <c r="A14" s="7" t="s">
        <v>29</v>
      </c>
      <c r="B14" t="s">
        <v>49</v>
      </c>
      <c r="C14" s="3">
        <v>100</v>
      </c>
    </row>
    <row r="15" spans="1:3" x14ac:dyDescent="0.2">
      <c r="A15" s="7" t="s">
        <v>30</v>
      </c>
      <c r="B15" t="s">
        <v>60</v>
      </c>
      <c r="C15" s="3">
        <v>100</v>
      </c>
    </row>
    <row r="16" spans="1:3" x14ac:dyDescent="0.2">
      <c r="A16" s="7" t="s">
        <v>31</v>
      </c>
      <c r="B16" t="s">
        <v>52</v>
      </c>
      <c r="C16" s="3">
        <v>100</v>
      </c>
    </row>
    <row r="17" spans="1:1" x14ac:dyDescent="0.2">
      <c r="A17" s="7" t="s">
        <v>32</v>
      </c>
    </row>
    <row r="18" spans="1:1" x14ac:dyDescent="0.2">
      <c r="A18" s="7" t="s">
        <v>33</v>
      </c>
    </row>
    <row r="19" spans="1:1" x14ac:dyDescent="0.2">
      <c r="A19" s="7" t="s">
        <v>34</v>
      </c>
    </row>
    <row r="20" spans="1:1" x14ac:dyDescent="0.2">
      <c r="A20" s="7" t="s">
        <v>35</v>
      </c>
    </row>
    <row r="21" spans="1:1" x14ac:dyDescent="0.2">
      <c r="A21" s="7" t="s">
        <v>36</v>
      </c>
    </row>
    <row r="22" spans="1:1" x14ac:dyDescent="0.2">
      <c r="A22" s="7" t="s">
        <v>37</v>
      </c>
    </row>
    <row r="23" spans="1:1" x14ac:dyDescent="0.2">
      <c r="A23" s="7" t="s">
        <v>38</v>
      </c>
    </row>
    <row r="24" spans="1:1" x14ac:dyDescent="0.2">
      <c r="A24" s="7" t="s">
        <v>39</v>
      </c>
    </row>
    <row r="25" spans="1:1" x14ac:dyDescent="0.2">
      <c r="A25" s="7" t="s">
        <v>40</v>
      </c>
    </row>
    <row r="26" spans="1:1" x14ac:dyDescent="0.2">
      <c r="A26" s="7" t="s">
        <v>41</v>
      </c>
    </row>
    <row r="27" spans="1:1" x14ac:dyDescent="0.2">
      <c r="A27" s="7" t="s">
        <v>42</v>
      </c>
    </row>
    <row r="28" spans="1:1" x14ac:dyDescent="0.2">
      <c r="A28" s="7" t="s">
        <v>43</v>
      </c>
    </row>
    <row r="29" spans="1:1" x14ac:dyDescent="0.2">
      <c r="A29" s="7" t="s">
        <v>44</v>
      </c>
    </row>
    <row r="30" spans="1:1" x14ac:dyDescent="0.2">
      <c r="A30" s="7" t="s">
        <v>45</v>
      </c>
    </row>
    <row r="31" spans="1:1" x14ac:dyDescent="0.2">
      <c r="A31" s="7"/>
    </row>
    <row r="32" spans="1:1" x14ac:dyDescent="0.2">
      <c r="A32" s="7"/>
    </row>
    <row r="33" spans="1:1" x14ac:dyDescent="0.2">
      <c r="A33" s="7"/>
    </row>
    <row r="34" spans="1:1" x14ac:dyDescent="0.2">
      <c r="A34" s="7"/>
    </row>
    <row r="35" spans="1:1" x14ac:dyDescent="0.2">
      <c r="A35" s="7"/>
    </row>
    <row r="36" spans="1:1" x14ac:dyDescent="0.2">
      <c r="A36" s="7"/>
    </row>
    <row r="37" spans="1:1" x14ac:dyDescent="0.2">
      <c r="A37" s="7"/>
    </row>
    <row r="38" spans="1:1" x14ac:dyDescent="0.2">
      <c r="A38" s="7"/>
    </row>
    <row r="39" spans="1:1" x14ac:dyDescent="0.2">
      <c r="A39" s="7"/>
    </row>
    <row r="40" spans="1:1" x14ac:dyDescent="0.2">
      <c r="A40" s="7"/>
    </row>
    <row r="41" spans="1:1" x14ac:dyDescent="0.2">
      <c r="A41" s="7"/>
    </row>
    <row r="42" spans="1:1" x14ac:dyDescent="0.2">
      <c r="A42" s="7"/>
    </row>
    <row r="43" spans="1:1" x14ac:dyDescent="0.2">
      <c r="A43" s="7"/>
    </row>
    <row r="44" spans="1:1" x14ac:dyDescent="0.2">
      <c r="A44" s="7"/>
    </row>
    <row r="45" spans="1:1" x14ac:dyDescent="0.2">
      <c r="A45" s="7"/>
    </row>
    <row r="46" spans="1:1" x14ac:dyDescent="0.2">
      <c r="A46" s="7"/>
    </row>
    <row r="47" spans="1:1" x14ac:dyDescent="0.2">
      <c r="A47" s="7"/>
    </row>
    <row r="48" spans="1:1" x14ac:dyDescent="0.2">
      <c r="A48" s="7"/>
    </row>
    <row r="49" spans="1:1" x14ac:dyDescent="0.2">
      <c r="A49" s="7"/>
    </row>
    <row r="50" spans="1:1" x14ac:dyDescent="0.2">
      <c r="A50" s="7"/>
    </row>
    <row r="51" spans="1:1" x14ac:dyDescent="0.2">
      <c r="A51" s="7"/>
    </row>
    <row r="52" spans="1:1" x14ac:dyDescent="0.2">
      <c r="A52" s="7"/>
    </row>
    <row r="53" spans="1:1" x14ac:dyDescent="0.2">
      <c r="A53" s="7"/>
    </row>
    <row r="54" spans="1:1" x14ac:dyDescent="0.2">
      <c r="A54" s="7"/>
    </row>
    <row r="55" spans="1:1" x14ac:dyDescent="0.2">
      <c r="A55" s="7"/>
    </row>
    <row r="56" spans="1:1" x14ac:dyDescent="0.2">
      <c r="A56" s="7"/>
    </row>
    <row r="57" spans="1:1" x14ac:dyDescent="0.2">
      <c r="A57" s="7"/>
    </row>
    <row r="58" spans="1:1" x14ac:dyDescent="0.2">
      <c r="A58" s="7"/>
    </row>
    <row r="59" spans="1:1" x14ac:dyDescent="0.2">
      <c r="A59" s="7"/>
    </row>
    <row r="60" spans="1:1" x14ac:dyDescent="0.2">
      <c r="A60" s="7"/>
    </row>
    <row r="61" spans="1:1" x14ac:dyDescent="0.2">
      <c r="A61" s="7"/>
    </row>
    <row r="62" spans="1:1" x14ac:dyDescent="0.2">
      <c r="A62" s="7"/>
    </row>
    <row r="63" spans="1:1" x14ac:dyDescent="0.2">
      <c r="A63" s="7"/>
    </row>
    <row r="64" spans="1:1" x14ac:dyDescent="0.2">
      <c r="A64" s="7"/>
    </row>
    <row r="65" spans="1:1" x14ac:dyDescent="0.2">
      <c r="A65" s="7"/>
    </row>
    <row r="66" spans="1:1" x14ac:dyDescent="0.2">
      <c r="A66" s="7"/>
    </row>
    <row r="67" spans="1:1" x14ac:dyDescent="0.2">
      <c r="A67" s="7"/>
    </row>
    <row r="68" spans="1:1" x14ac:dyDescent="0.2">
      <c r="A68" s="7"/>
    </row>
    <row r="69" spans="1:1" x14ac:dyDescent="0.2">
      <c r="A69" s="7"/>
    </row>
    <row r="70" spans="1:1" x14ac:dyDescent="0.2">
      <c r="A70" s="7"/>
    </row>
    <row r="71" spans="1:1" x14ac:dyDescent="0.2">
      <c r="A71" s="7"/>
    </row>
    <row r="72" spans="1:1" x14ac:dyDescent="0.2">
      <c r="A72" s="7"/>
    </row>
    <row r="73" spans="1:1" x14ac:dyDescent="0.2">
      <c r="A73" s="7"/>
    </row>
    <row r="74" spans="1:1" x14ac:dyDescent="0.2">
      <c r="A74" s="7"/>
    </row>
    <row r="75" spans="1:1" x14ac:dyDescent="0.2">
      <c r="A75" s="7"/>
    </row>
    <row r="76" spans="1:1" x14ac:dyDescent="0.2">
      <c r="A76" s="7"/>
    </row>
    <row r="77" spans="1:1" x14ac:dyDescent="0.2">
      <c r="A77" s="7"/>
    </row>
    <row r="78" spans="1:1" x14ac:dyDescent="0.2">
      <c r="A78" s="7"/>
    </row>
    <row r="79" spans="1:1" x14ac:dyDescent="0.2">
      <c r="A79" s="7"/>
    </row>
    <row r="80" spans="1:1" x14ac:dyDescent="0.2">
      <c r="A80" s="7"/>
    </row>
    <row r="81" spans="1:1" x14ac:dyDescent="0.2">
      <c r="A81" s="7"/>
    </row>
    <row r="82" spans="1:1" x14ac:dyDescent="0.2">
      <c r="A82" s="7"/>
    </row>
    <row r="83" spans="1:1" x14ac:dyDescent="0.2">
      <c r="A83" s="7"/>
    </row>
    <row r="84" spans="1:1" x14ac:dyDescent="0.2">
      <c r="A84" s="7"/>
    </row>
    <row r="85" spans="1:1" x14ac:dyDescent="0.2">
      <c r="A85" s="7"/>
    </row>
    <row r="86" spans="1:1" x14ac:dyDescent="0.2">
      <c r="A86" s="7"/>
    </row>
    <row r="87" spans="1:1" x14ac:dyDescent="0.2">
      <c r="A87" s="7"/>
    </row>
    <row r="88" spans="1:1" x14ac:dyDescent="0.2">
      <c r="A88" s="7"/>
    </row>
    <row r="89" spans="1:1" x14ac:dyDescent="0.2">
      <c r="A89" s="7"/>
    </row>
    <row r="90" spans="1:1" x14ac:dyDescent="0.2">
      <c r="A90" s="7"/>
    </row>
    <row r="91" spans="1:1" x14ac:dyDescent="0.2">
      <c r="A91" s="7"/>
    </row>
    <row r="92" spans="1:1" x14ac:dyDescent="0.2">
      <c r="A92" s="7"/>
    </row>
    <row r="93" spans="1:1" x14ac:dyDescent="0.2">
      <c r="A93" s="7"/>
    </row>
    <row r="94" spans="1:1" x14ac:dyDescent="0.2">
      <c r="A94" s="7"/>
    </row>
    <row r="95" spans="1:1" x14ac:dyDescent="0.2">
      <c r="A95" s="7"/>
    </row>
    <row r="96" spans="1:1" x14ac:dyDescent="0.2">
      <c r="A96" s="7"/>
    </row>
    <row r="97" spans="1:1" x14ac:dyDescent="0.2">
      <c r="A97" s="7"/>
    </row>
    <row r="98" spans="1:1" x14ac:dyDescent="0.2">
      <c r="A98" s="7"/>
    </row>
    <row r="99" spans="1:1" x14ac:dyDescent="0.2">
      <c r="A99" s="7"/>
    </row>
    <row r="100" spans="1:1" x14ac:dyDescent="0.2">
      <c r="A100" s="7"/>
    </row>
    <row r="101" spans="1:1" x14ac:dyDescent="0.2">
      <c r="A101" s="7"/>
    </row>
    <row r="102" spans="1:1" x14ac:dyDescent="0.2">
      <c r="A102" s="7"/>
    </row>
    <row r="103" spans="1:1" x14ac:dyDescent="0.2">
      <c r="A103" s="7"/>
    </row>
    <row r="104" spans="1:1" x14ac:dyDescent="0.2">
      <c r="A104" s="7"/>
    </row>
    <row r="105" spans="1:1" x14ac:dyDescent="0.2">
      <c r="A105" s="7"/>
    </row>
    <row r="106" spans="1:1" x14ac:dyDescent="0.2">
      <c r="A106" s="7"/>
    </row>
    <row r="107" spans="1:1" x14ac:dyDescent="0.2">
      <c r="A107" s="7"/>
    </row>
    <row r="108" spans="1:1" x14ac:dyDescent="0.2">
      <c r="A108" s="7"/>
    </row>
    <row r="109" spans="1:1" x14ac:dyDescent="0.2">
      <c r="A109" s="7"/>
    </row>
    <row r="110" spans="1:1" x14ac:dyDescent="0.2">
      <c r="A110" s="7"/>
    </row>
    <row r="111" spans="1:1" x14ac:dyDescent="0.2">
      <c r="A111" s="7"/>
    </row>
    <row r="112" spans="1:1" x14ac:dyDescent="0.2">
      <c r="A112" s="7"/>
    </row>
    <row r="113" spans="1:1" x14ac:dyDescent="0.2">
      <c r="A113" s="7"/>
    </row>
    <row r="114" spans="1:1" x14ac:dyDescent="0.2">
      <c r="A114" s="7"/>
    </row>
    <row r="115" spans="1:1" x14ac:dyDescent="0.2">
      <c r="A115" s="7"/>
    </row>
    <row r="116" spans="1:1" x14ac:dyDescent="0.2">
      <c r="A116" s="7"/>
    </row>
    <row r="117" spans="1:1" x14ac:dyDescent="0.2">
      <c r="A117" s="7"/>
    </row>
    <row r="118" spans="1:1" x14ac:dyDescent="0.2">
      <c r="A118" s="7"/>
    </row>
    <row r="119" spans="1:1" x14ac:dyDescent="0.2">
      <c r="A119" s="7"/>
    </row>
    <row r="120" spans="1:1" x14ac:dyDescent="0.2">
      <c r="A120" s="7"/>
    </row>
    <row r="121" spans="1:1" x14ac:dyDescent="0.2">
      <c r="A121" s="7"/>
    </row>
    <row r="122" spans="1:1" x14ac:dyDescent="0.2">
      <c r="A122" s="7"/>
    </row>
    <row r="123" spans="1:1" x14ac:dyDescent="0.2">
      <c r="A123" s="7"/>
    </row>
    <row r="124" spans="1:1" x14ac:dyDescent="0.2">
      <c r="A124" s="7"/>
    </row>
    <row r="125" spans="1:1" x14ac:dyDescent="0.2">
      <c r="A125" s="7"/>
    </row>
    <row r="126" spans="1:1" x14ac:dyDescent="0.2">
      <c r="A126" s="7"/>
    </row>
    <row r="127" spans="1:1" x14ac:dyDescent="0.2">
      <c r="A127" s="7"/>
    </row>
    <row r="128" spans="1:1" x14ac:dyDescent="0.2">
      <c r="A128" s="7"/>
    </row>
    <row r="129" spans="1:1" x14ac:dyDescent="0.2">
      <c r="A129" s="7"/>
    </row>
    <row r="130" spans="1:1" x14ac:dyDescent="0.2">
      <c r="A130" s="7"/>
    </row>
    <row r="131" spans="1:1" x14ac:dyDescent="0.2">
      <c r="A131" s="7"/>
    </row>
    <row r="132" spans="1:1" x14ac:dyDescent="0.2">
      <c r="A132" s="7"/>
    </row>
    <row r="133" spans="1:1" x14ac:dyDescent="0.2">
      <c r="A133" s="7"/>
    </row>
    <row r="134" spans="1:1" x14ac:dyDescent="0.2">
      <c r="A134" s="7"/>
    </row>
    <row r="135" spans="1:1" x14ac:dyDescent="0.2">
      <c r="A135" s="7"/>
    </row>
    <row r="136" spans="1:1" x14ac:dyDescent="0.2">
      <c r="A136" s="7"/>
    </row>
    <row r="137" spans="1:1" x14ac:dyDescent="0.2">
      <c r="A137" s="7"/>
    </row>
    <row r="138" spans="1:1" x14ac:dyDescent="0.2">
      <c r="A138" s="7"/>
    </row>
    <row r="139" spans="1:1" x14ac:dyDescent="0.2">
      <c r="A139" s="7"/>
    </row>
    <row r="140" spans="1:1" x14ac:dyDescent="0.2">
      <c r="A140" s="7"/>
    </row>
    <row r="141" spans="1:1" x14ac:dyDescent="0.2">
      <c r="A141" s="7"/>
    </row>
    <row r="142" spans="1:1" x14ac:dyDescent="0.2">
      <c r="A142" s="7"/>
    </row>
    <row r="143" spans="1:1" x14ac:dyDescent="0.2">
      <c r="A143" s="7"/>
    </row>
    <row r="144" spans="1:1" x14ac:dyDescent="0.2">
      <c r="A144" s="7"/>
    </row>
    <row r="145" spans="1:1" x14ac:dyDescent="0.2">
      <c r="A145" s="7"/>
    </row>
    <row r="146" spans="1:1" x14ac:dyDescent="0.2">
      <c r="A146" s="7"/>
    </row>
    <row r="147" spans="1:1" x14ac:dyDescent="0.2">
      <c r="A147" s="7"/>
    </row>
    <row r="148" spans="1:1" x14ac:dyDescent="0.2">
      <c r="A148" s="7"/>
    </row>
    <row r="149" spans="1:1" x14ac:dyDescent="0.2">
      <c r="A149" s="7"/>
    </row>
    <row r="150" spans="1:1" x14ac:dyDescent="0.2">
      <c r="A150" s="7"/>
    </row>
    <row r="151" spans="1:1" x14ac:dyDescent="0.2">
      <c r="A151" s="7"/>
    </row>
    <row r="152" spans="1:1" x14ac:dyDescent="0.2">
      <c r="A152" s="7"/>
    </row>
    <row r="153" spans="1:1" x14ac:dyDescent="0.2">
      <c r="A153" s="7"/>
    </row>
    <row r="154" spans="1:1" x14ac:dyDescent="0.2">
      <c r="A154" s="7"/>
    </row>
    <row r="155" spans="1:1" x14ac:dyDescent="0.2">
      <c r="A155" s="7"/>
    </row>
    <row r="156" spans="1:1" x14ac:dyDescent="0.2">
      <c r="A156" s="7"/>
    </row>
    <row r="157" spans="1:1" x14ac:dyDescent="0.2">
      <c r="A157" s="7"/>
    </row>
    <row r="158" spans="1:1" x14ac:dyDescent="0.2">
      <c r="A158" s="7"/>
    </row>
    <row r="159" spans="1:1" x14ac:dyDescent="0.2">
      <c r="A159" s="7"/>
    </row>
    <row r="160" spans="1:1" x14ac:dyDescent="0.2">
      <c r="A160" s="7"/>
    </row>
    <row r="161" spans="1:1" x14ac:dyDescent="0.2">
      <c r="A161" s="7"/>
    </row>
    <row r="162" spans="1:1" x14ac:dyDescent="0.2">
      <c r="A162" s="7"/>
    </row>
    <row r="163" spans="1:1" x14ac:dyDescent="0.2">
      <c r="A163" s="7"/>
    </row>
    <row r="164" spans="1:1" x14ac:dyDescent="0.2">
      <c r="A164" s="7"/>
    </row>
    <row r="165" spans="1:1" x14ac:dyDescent="0.2">
      <c r="A165" s="7"/>
    </row>
    <row r="166" spans="1:1" x14ac:dyDescent="0.2">
      <c r="A166" s="7"/>
    </row>
    <row r="167" spans="1:1" x14ac:dyDescent="0.2">
      <c r="A167" s="7"/>
    </row>
    <row r="168" spans="1:1" x14ac:dyDescent="0.2">
      <c r="A168" s="7"/>
    </row>
    <row r="169" spans="1:1" x14ac:dyDescent="0.2">
      <c r="A169" s="7"/>
    </row>
    <row r="170" spans="1:1" x14ac:dyDescent="0.2">
      <c r="A170" s="7"/>
    </row>
    <row r="171" spans="1:1" x14ac:dyDescent="0.2">
      <c r="A171" s="7"/>
    </row>
    <row r="172" spans="1:1" x14ac:dyDescent="0.2">
      <c r="A172" s="7"/>
    </row>
    <row r="173" spans="1:1" x14ac:dyDescent="0.2">
      <c r="A173" s="7"/>
    </row>
    <row r="174" spans="1:1" x14ac:dyDescent="0.2">
      <c r="A174" s="7"/>
    </row>
    <row r="175" spans="1:1" x14ac:dyDescent="0.2">
      <c r="A175" s="7"/>
    </row>
    <row r="176" spans="1:1" x14ac:dyDescent="0.2">
      <c r="A176" s="7"/>
    </row>
    <row r="177" spans="1:1" x14ac:dyDescent="0.2">
      <c r="A177" s="7"/>
    </row>
    <row r="178" spans="1:1" x14ac:dyDescent="0.2">
      <c r="A178" s="7"/>
    </row>
    <row r="179" spans="1:1" x14ac:dyDescent="0.2">
      <c r="A179" s="7"/>
    </row>
    <row r="180" spans="1:1" x14ac:dyDescent="0.2">
      <c r="A180" s="7"/>
    </row>
    <row r="181" spans="1:1" x14ac:dyDescent="0.2">
      <c r="A181" s="7"/>
    </row>
    <row r="182" spans="1:1" x14ac:dyDescent="0.2">
      <c r="A182" s="7"/>
    </row>
    <row r="183" spans="1:1" x14ac:dyDescent="0.2">
      <c r="A183" s="7"/>
    </row>
    <row r="184" spans="1:1" x14ac:dyDescent="0.2">
      <c r="A184" s="7"/>
    </row>
    <row r="185" spans="1:1" x14ac:dyDescent="0.2">
      <c r="A185" s="7"/>
    </row>
    <row r="186" spans="1:1" x14ac:dyDescent="0.2">
      <c r="A186" s="7"/>
    </row>
    <row r="187" spans="1:1" x14ac:dyDescent="0.2">
      <c r="A187" s="7"/>
    </row>
    <row r="188" spans="1:1" x14ac:dyDescent="0.2">
      <c r="A188" s="7"/>
    </row>
    <row r="189" spans="1:1" x14ac:dyDescent="0.2">
      <c r="A189" s="7"/>
    </row>
    <row r="190" spans="1:1" x14ac:dyDescent="0.2">
      <c r="A190" s="7"/>
    </row>
    <row r="191" spans="1:1" x14ac:dyDescent="0.2">
      <c r="A191" s="7"/>
    </row>
    <row r="192" spans="1:1" x14ac:dyDescent="0.2">
      <c r="A192" s="7"/>
    </row>
    <row r="193" spans="1:1" x14ac:dyDescent="0.2">
      <c r="A193" s="7"/>
    </row>
    <row r="194" spans="1:1" x14ac:dyDescent="0.2">
      <c r="A194" s="7"/>
    </row>
    <row r="195" spans="1:1" x14ac:dyDescent="0.2">
      <c r="A195" s="7"/>
    </row>
    <row r="196" spans="1:1" x14ac:dyDescent="0.2">
      <c r="A196" s="7"/>
    </row>
    <row r="197" spans="1:1" x14ac:dyDescent="0.2">
      <c r="A197" s="7"/>
    </row>
    <row r="198" spans="1:1" x14ac:dyDescent="0.2">
      <c r="A198" s="7"/>
    </row>
    <row r="199" spans="1:1" x14ac:dyDescent="0.2">
      <c r="A199" s="7"/>
    </row>
    <row r="200" spans="1:1" x14ac:dyDescent="0.2">
      <c r="A200" s="7"/>
    </row>
    <row r="201" spans="1:1" x14ac:dyDescent="0.2">
      <c r="A201" s="7"/>
    </row>
    <row r="202" spans="1:1" x14ac:dyDescent="0.2">
      <c r="A202" s="7"/>
    </row>
    <row r="203" spans="1:1" x14ac:dyDescent="0.2">
      <c r="A203" s="7"/>
    </row>
    <row r="204" spans="1:1" x14ac:dyDescent="0.2">
      <c r="A204" s="7"/>
    </row>
    <row r="205" spans="1:1" x14ac:dyDescent="0.2">
      <c r="A205" s="7"/>
    </row>
    <row r="206" spans="1:1" x14ac:dyDescent="0.2">
      <c r="A206" s="7"/>
    </row>
    <row r="207" spans="1:1" x14ac:dyDescent="0.2">
      <c r="A207" s="7"/>
    </row>
    <row r="208" spans="1:1" x14ac:dyDescent="0.2">
      <c r="A208" s="7"/>
    </row>
    <row r="209" spans="1:1" x14ac:dyDescent="0.2">
      <c r="A209" s="7"/>
    </row>
    <row r="210" spans="1:1" x14ac:dyDescent="0.2">
      <c r="A210" s="7"/>
    </row>
    <row r="211" spans="1:1" x14ac:dyDescent="0.2">
      <c r="A211" s="7"/>
    </row>
    <row r="212" spans="1:1" x14ac:dyDescent="0.2">
      <c r="A212" s="7"/>
    </row>
    <row r="213" spans="1:1" x14ac:dyDescent="0.2">
      <c r="A213" s="7"/>
    </row>
    <row r="214" spans="1:1" x14ac:dyDescent="0.2">
      <c r="A214" s="7"/>
    </row>
    <row r="215" spans="1:1" x14ac:dyDescent="0.2">
      <c r="A215" s="7"/>
    </row>
    <row r="216" spans="1:1" x14ac:dyDescent="0.2">
      <c r="A216" s="7"/>
    </row>
    <row r="217" spans="1:1" x14ac:dyDescent="0.2">
      <c r="A217" s="7"/>
    </row>
    <row r="218" spans="1:1" x14ac:dyDescent="0.2">
      <c r="A218" s="7"/>
    </row>
    <row r="219" spans="1:1" x14ac:dyDescent="0.2">
      <c r="A219" s="7"/>
    </row>
    <row r="220" spans="1:1" x14ac:dyDescent="0.2">
      <c r="A220" s="7"/>
    </row>
    <row r="221" spans="1:1" x14ac:dyDescent="0.2">
      <c r="A221" s="7"/>
    </row>
    <row r="222" spans="1:1" x14ac:dyDescent="0.2">
      <c r="A222" s="7"/>
    </row>
    <row r="223" spans="1:1" x14ac:dyDescent="0.2">
      <c r="A223" s="7"/>
    </row>
    <row r="224" spans="1:1" x14ac:dyDescent="0.2">
      <c r="A224" s="7"/>
    </row>
    <row r="225" spans="1:1" x14ac:dyDescent="0.2">
      <c r="A225" s="7"/>
    </row>
    <row r="226" spans="1:1" x14ac:dyDescent="0.2">
      <c r="A226" s="7"/>
    </row>
    <row r="227" spans="1:1" x14ac:dyDescent="0.2">
      <c r="A227" s="7"/>
    </row>
    <row r="228" spans="1:1" x14ac:dyDescent="0.2">
      <c r="A228" s="7"/>
    </row>
    <row r="229" spans="1:1" x14ac:dyDescent="0.2">
      <c r="A229" s="7"/>
    </row>
    <row r="230" spans="1:1" x14ac:dyDescent="0.2">
      <c r="A230" s="7"/>
    </row>
    <row r="231" spans="1:1" x14ac:dyDescent="0.2">
      <c r="A231" s="7"/>
    </row>
    <row r="232" spans="1:1" x14ac:dyDescent="0.2">
      <c r="A232" s="7"/>
    </row>
    <row r="233" spans="1:1" x14ac:dyDescent="0.2">
      <c r="A233" s="7"/>
    </row>
    <row r="234" spans="1:1" x14ac:dyDescent="0.2">
      <c r="A234" s="7"/>
    </row>
    <row r="235" spans="1:1" x14ac:dyDescent="0.2">
      <c r="A235" s="7"/>
    </row>
    <row r="236" spans="1:1" x14ac:dyDescent="0.2">
      <c r="A236" s="7"/>
    </row>
    <row r="237" spans="1:1" x14ac:dyDescent="0.2">
      <c r="A237" s="7"/>
    </row>
    <row r="238" spans="1:1" x14ac:dyDescent="0.2">
      <c r="A238" s="7"/>
    </row>
    <row r="239" spans="1:1" x14ac:dyDescent="0.2">
      <c r="A239" s="7"/>
    </row>
    <row r="240" spans="1:1" x14ac:dyDescent="0.2">
      <c r="A240" s="7"/>
    </row>
    <row r="241" spans="1:1" x14ac:dyDescent="0.2">
      <c r="A241" s="7"/>
    </row>
    <row r="242" spans="1:1" x14ac:dyDescent="0.2">
      <c r="A242" s="7"/>
    </row>
    <row r="243" spans="1:1" x14ac:dyDescent="0.2">
      <c r="A243" s="7"/>
    </row>
    <row r="244" spans="1:1" x14ac:dyDescent="0.2">
      <c r="A244" s="7"/>
    </row>
    <row r="245" spans="1:1" x14ac:dyDescent="0.2">
      <c r="A245" s="7"/>
    </row>
    <row r="246" spans="1:1" x14ac:dyDescent="0.2">
      <c r="A246" s="7"/>
    </row>
    <row r="247" spans="1:1" x14ac:dyDescent="0.2">
      <c r="A247" s="7"/>
    </row>
    <row r="248" spans="1:1" x14ac:dyDescent="0.2">
      <c r="A248" s="7"/>
    </row>
    <row r="249" spans="1:1" x14ac:dyDescent="0.2">
      <c r="A249" s="7"/>
    </row>
    <row r="250" spans="1:1" x14ac:dyDescent="0.2">
      <c r="A250" s="7"/>
    </row>
    <row r="251" spans="1:1" x14ac:dyDescent="0.2">
      <c r="A251" s="7"/>
    </row>
    <row r="252" spans="1:1" x14ac:dyDescent="0.2">
      <c r="A252" s="7"/>
    </row>
    <row r="253" spans="1:1" x14ac:dyDescent="0.2">
      <c r="A253" s="7"/>
    </row>
    <row r="254" spans="1:1" x14ac:dyDescent="0.2">
      <c r="A254" s="7"/>
    </row>
    <row r="255" spans="1:1" x14ac:dyDescent="0.2">
      <c r="A255" s="7"/>
    </row>
    <row r="256" spans="1:1" x14ac:dyDescent="0.2">
      <c r="A256" s="7"/>
    </row>
    <row r="257" spans="1:1" x14ac:dyDescent="0.2">
      <c r="A257" s="7"/>
    </row>
    <row r="258" spans="1:1" x14ac:dyDescent="0.2">
      <c r="A258" s="7"/>
    </row>
    <row r="259" spans="1:1" x14ac:dyDescent="0.2">
      <c r="A259" s="7"/>
    </row>
    <row r="260" spans="1:1" x14ac:dyDescent="0.2">
      <c r="A260" s="7"/>
    </row>
    <row r="261" spans="1:1" x14ac:dyDescent="0.2">
      <c r="A261" s="7"/>
    </row>
    <row r="262" spans="1:1" x14ac:dyDescent="0.2">
      <c r="A262" s="7"/>
    </row>
    <row r="263" spans="1:1" x14ac:dyDescent="0.2">
      <c r="A263" s="7"/>
    </row>
    <row r="264" spans="1:1" x14ac:dyDescent="0.2">
      <c r="A264" s="7"/>
    </row>
    <row r="265" spans="1:1" x14ac:dyDescent="0.2">
      <c r="A265" s="7"/>
    </row>
    <row r="266" spans="1:1" x14ac:dyDescent="0.2">
      <c r="A266" s="7"/>
    </row>
    <row r="267" spans="1:1" x14ac:dyDescent="0.2">
      <c r="A267" s="7"/>
    </row>
    <row r="268" spans="1:1" x14ac:dyDescent="0.2">
      <c r="A268" s="7"/>
    </row>
    <row r="269" spans="1:1" x14ac:dyDescent="0.2">
      <c r="A269" s="7"/>
    </row>
    <row r="270" spans="1:1" x14ac:dyDescent="0.2">
      <c r="A270" s="7"/>
    </row>
    <row r="271" spans="1:1" x14ac:dyDescent="0.2">
      <c r="A271" s="7"/>
    </row>
    <row r="272" spans="1:1" x14ac:dyDescent="0.2">
      <c r="A272" s="7"/>
    </row>
    <row r="273" spans="1:1" x14ac:dyDescent="0.2">
      <c r="A273" s="7"/>
    </row>
    <row r="274" spans="1:1" x14ac:dyDescent="0.2">
      <c r="A274" s="7"/>
    </row>
    <row r="275" spans="1:1" x14ac:dyDescent="0.2">
      <c r="A275" s="7"/>
    </row>
    <row r="276" spans="1:1" x14ac:dyDescent="0.2">
      <c r="A276" s="7"/>
    </row>
    <row r="277" spans="1:1" x14ac:dyDescent="0.2">
      <c r="A277" s="7"/>
    </row>
    <row r="278" spans="1:1" x14ac:dyDescent="0.2">
      <c r="A278" s="7"/>
    </row>
    <row r="279" spans="1:1" x14ac:dyDescent="0.2">
      <c r="A279" s="7"/>
    </row>
    <row r="280" spans="1:1" x14ac:dyDescent="0.2">
      <c r="A280" s="7"/>
    </row>
    <row r="281" spans="1:1" x14ac:dyDescent="0.2">
      <c r="A281" s="7"/>
    </row>
    <row r="282" spans="1:1" x14ac:dyDescent="0.2">
      <c r="A282" s="7"/>
    </row>
    <row r="283" spans="1:1" x14ac:dyDescent="0.2">
      <c r="A283" s="7"/>
    </row>
    <row r="284" spans="1:1" x14ac:dyDescent="0.2">
      <c r="A284" s="7"/>
    </row>
    <row r="285" spans="1:1" x14ac:dyDescent="0.2">
      <c r="A285" s="7"/>
    </row>
    <row r="286" spans="1:1" x14ac:dyDescent="0.2">
      <c r="A286" s="7"/>
    </row>
    <row r="287" spans="1:1" x14ac:dyDescent="0.2">
      <c r="A287" s="7"/>
    </row>
    <row r="288" spans="1:1" x14ac:dyDescent="0.2">
      <c r="A288" s="7"/>
    </row>
    <row r="289" spans="1:1" x14ac:dyDescent="0.2">
      <c r="A289" s="7"/>
    </row>
    <row r="290" spans="1:1" x14ac:dyDescent="0.2">
      <c r="A290" s="7"/>
    </row>
    <row r="291" spans="1:1" x14ac:dyDescent="0.2">
      <c r="A291" s="7"/>
    </row>
    <row r="292" spans="1:1" x14ac:dyDescent="0.2">
      <c r="A292" s="7"/>
    </row>
    <row r="293" spans="1:1" x14ac:dyDescent="0.2">
      <c r="A293" s="7"/>
    </row>
    <row r="294" spans="1:1" x14ac:dyDescent="0.2">
      <c r="A294" s="7"/>
    </row>
    <row r="295" spans="1:1" x14ac:dyDescent="0.2">
      <c r="A295" s="7"/>
    </row>
    <row r="296" spans="1:1" x14ac:dyDescent="0.2">
      <c r="A296" s="7"/>
    </row>
    <row r="297" spans="1:1" x14ac:dyDescent="0.2">
      <c r="A297" s="7"/>
    </row>
    <row r="298" spans="1:1" x14ac:dyDescent="0.2">
      <c r="A298" s="7"/>
    </row>
    <row r="299" spans="1:1" x14ac:dyDescent="0.2">
      <c r="A299" s="7"/>
    </row>
    <row r="300" spans="1:1" x14ac:dyDescent="0.2">
      <c r="A300" s="7"/>
    </row>
    <row r="301" spans="1:1" x14ac:dyDescent="0.2">
      <c r="A301" s="7"/>
    </row>
    <row r="302" spans="1:1" x14ac:dyDescent="0.2">
      <c r="A302" s="7"/>
    </row>
    <row r="303" spans="1:1" x14ac:dyDescent="0.2">
      <c r="A303" s="7"/>
    </row>
    <row r="304" spans="1:1" x14ac:dyDescent="0.2">
      <c r="A304" s="7"/>
    </row>
    <row r="305" spans="1:1" x14ac:dyDescent="0.2">
      <c r="A305" s="7"/>
    </row>
    <row r="306" spans="1:1" x14ac:dyDescent="0.2">
      <c r="A306" s="7"/>
    </row>
    <row r="307" spans="1:1" x14ac:dyDescent="0.2">
      <c r="A307" s="7"/>
    </row>
    <row r="308" spans="1:1" x14ac:dyDescent="0.2">
      <c r="A308" s="7"/>
    </row>
    <row r="309" spans="1:1" x14ac:dyDescent="0.2">
      <c r="A309" s="7"/>
    </row>
    <row r="310" spans="1:1" x14ac:dyDescent="0.2">
      <c r="A310" s="7"/>
    </row>
    <row r="311" spans="1:1" x14ac:dyDescent="0.2">
      <c r="A311" s="7"/>
    </row>
    <row r="312" spans="1:1" x14ac:dyDescent="0.2">
      <c r="A312" s="7"/>
    </row>
    <row r="313" spans="1:1" x14ac:dyDescent="0.2">
      <c r="A313" s="7"/>
    </row>
    <row r="314" spans="1:1" x14ac:dyDescent="0.2">
      <c r="A314" s="7"/>
    </row>
    <row r="315" spans="1:1" x14ac:dyDescent="0.2">
      <c r="A315" s="7"/>
    </row>
    <row r="316" spans="1:1" x14ac:dyDescent="0.2">
      <c r="A316" s="7"/>
    </row>
    <row r="317" spans="1:1" x14ac:dyDescent="0.2">
      <c r="A317" s="7"/>
    </row>
    <row r="318" spans="1:1" x14ac:dyDescent="0.2">
      <c r="A318" s="7"/>
    </row>
    <row r="319" spans="1:1" x14ac:dyDescent="0.2">
      <c r="A319" s="7"/>
    </row>
    <row r="320" spans="1:1" x14ac:dyDescent="0.2">
      <c r="A320" s="7"/>
    </row>
    <row r="321" spans="1:1" x14ac:dyDescent="0.2">
      <c r="A321" s="7"/>
    </row>
    <row r="322" spans="1:1" x14ac:dyDescent="0.2">
      <c r="A322" s="7"/>
    </row>
    <row r="323" spans="1:1" x14ac:dyDescent="0.2">
      <c r="A323" s="7"/>
    </row>
    <row r="324" spans="1:1" x14ac:dyDescent="0.2">
      <c r="A324" s="7"/>
    </row>
    <row r="325" spans="1:1" x14ac:dyDescent="0.2">
      <c r="A325" s="7"/>
    </row>
    <row r="326" spans="1:1" x14ac:dyDescent="0.2">
      <c r="A326" s="7"/>
    </row>
    <row r="327" spans="1:1" x14ac:dyDescent="0.2">
      <c r="A327" s="7"/>
    </row>
    <row r="328" spans="1:1" x14ac:dyDescent="0.2">
      <c r="A328" s="7"/>
    </row>
    <row r="329" spans="1:1" x14ac:dyDescent="0.2">
      <c r="A329" s="7"/>
    </row>
    <row r="330" spans="1:1" x14ac:dyDescent="0.2">
      <c r="A330" s="7"/>
    </row>
    <row r="331" spans="1:1" x14ac:dyDescent="0.2">
      <c r="A331" s="7"/>
    </row>
    <row r="332" spans="1:1" x14ac:dyDescent="0.2">
      <c r="A332" s="7"/>
    </row>
    <row r="333" spans="1:1" x14ac:dyDescent="0.2">
      <c r="A333" s="7"/>
    </row>
    <row r="334" spans="1:1" x14ac:dyDescent="0.2">
      <c r="A334" s="7"/>
    </row>
    <row r="335" spans="1:1" x14ac:dyDescent="0.2">
      <c r="A335" s="7"/>
    </row>
    <row r="336" spans="1:1" x14ac:dyDescent="0.2">
      <c r="A336" s="7"/>
    </row>
    <row r="337" spans="1:1" x14ac:dyDescent="0.2">
      <c r="A337" s="7"/>
    </row>
    <row r="338" spans="1:1" x14ac:dyDescent="0.2">
      <c r="A338" s="7"/>
    </row>
    <row r="339" spans="1:1" x14ac:dyDescent="0.2">
      <c r="A339" s="7"/>
    </row>
    <row r="340" spans="1:1" x14ac:dyDescent="0.2">
      <c r="A340" s="7"/>
    </row>
    <row r="341" spans="1:1" x14ac:dyDescent="0.2">
      <c r="A341" s="7"/>
    </row>
    <row r="342" spans="1:1" x14ac:dyDescent="0.2">
      <c r="A342" s="7"/>
    </row>
    <row r="343" spans="1:1" x14ac:dyDescent="0.2">
      <c r="A343" s="7"/>
    </row>
    <row r="344" spans="1:1" x14ac:dyDescent="0.2">
      <c r="A344" s="7"/>
    </row>
    <row r="345" spans="1:1" x14ac:dyDescent="0.2">
      <c r="A345" s="7"/>
    </row>
    <row r="346" spans="1:1" x14ac:dyDescent="0.2">
      <c r="A346" s="7"/>
    </row>
    <row r="347" spans="1:1" x14ac:dyDescent="0.2">
      <c r="A347" s="7"/>
    </row>
    <row r="348" spans="1:1" x14ac:dyDescent="0.2">
      <c r="A348" s="7"/>
    </row>
    <row r="349" spans="1:1" x14ac:dyDescent="0.2">
      <c r="A349" s="7"/>
    </row>
    <row r="350" spans="1:1" x14ac:dyDescent="0.2">
      <c r="A350" s="7"/>
    </row>
    <row r="351" spans="1:1" x14ac:dyDescent="0.2">
      <c r="A351" s="7"/>
    </row>
    <row r="352" spans="1:1" x14ac:dyDescent="0.2">
      <c r="A352" s="7"/>
    </row>
    <row r="353" spans="1:1" x14ac:dyDescent="0.2">
      <c r="A353" s="7"/>
    </row>
    <row r="354" spans="1:1" x14ac:dyDescent="0.2">
      <c r="A354" s="7"/>
    </row>
    <row r="355" spans="1:1" x14ac:dyDescent="0.2">
      <c r="A355" s="7"/>
    </row>
    <row r="356" spans="1:1" x14ac:dyDescent="0.2">
      <c r="A356" s="7"/>
    </row>
    <row r="357" spans="1:1" x14ac:dyDescent="0.2">
      <c r="A357" s="7"/>
    </row>
    <row r="358" spans="1:1" x14ac:dyDescent="0.2">
      <c r="A358" s="7"/>
    </row>
    <row r="359" spans="1:1" x14ac:dyDescent="0.2">
      <c r="A359" s="7"/>
    </row>
    <row r="360" spans="1:1" x14ac:dyDescent="0.2">
      <c r="A360" s="7"/>
    </row>
    <row r="361" spans="1:1" x14ac:dyDescent="0.2">
      <c r="A361" s="7"/>
    </row>
    <row r="362" spans="1:1" x14ac:dyDescent="0.2">
      <c r="A362" s="7"/>
    </row>
    <row r="363" spans="1:1" x14ac:dyDescent="0.2">
      <c r="A363" s="7"/>
    </row>
    <row r="364" spans="1:1" x14ac:dyDescent="0.2">
      <c r="A364" s="7"/>
    </row>
    <row r="365" spans="1:1" x14ac:dyDescent="0.2">
      <c r="A365" s="7"/>
    </row>
    <row r="366" spans="1:1" x14ac:dyDescent="0.2">
      <c r="A366" s="7"/>
    </row>
    <row r="367" spans="1:1" x14ac:dyDescent="0.2">
      <c r="A367" s="7"/>
    </row>
    <row r="368" spans="1:1" x14ac:dyDescent="0.2">
      <c r="A368" s="7"/>
    </row>
    <row r="369" spans="1:1" x14ac:dyDescent="0.2">
      <c r="A369" s="7"/>
    </row>
    <row r="370" spans="1:1" x14ac:dyDescent="0.2">
      <c r="A370" s="7"/>
    </row>
    <row r="371" spans="1:1" x14ac:dyDescent="0.2">
      <c r="A371" s="7"/>
    </row>
    <row r="372" spans="1:1" x14ac:dyDescent="0.2">
      <c r="A372" s="7"/>
    </row>
    <row r="373" spans="1:1" x14ac:dyDescent="0.2">
      <c r="A373" s="7"/>
    </row>
    <row r="374" spans="1:1" x14ac:dyDescent="0.2">
      <c r="A374" s="7"/>
    </row>
    <row r="375" spans="1:1" x14ac:dyDescent="0.2">
      <c r="A375" s="7"/>
    </row>
    <row r="376" spans="1:1" x14ac:dyDescent="0.2">
      <c r="A376" s="7"/>
    </row>
    <row r="377" spans="1:1" x14ac:dyDescent="0.2">
      <c r="A377" s="7"/>
    </row>
    <row r="378" spans="1:1" x14ac:dyDescent="0.2">
      <c r="A378" s="7"/>
    </row>
    <row r="379" spans="1:1" x14ac:dyDescent="0.2">
      <c r="A379" s="7"/>
    </row>
    <row r="380" spans="1:1" x14ac:dyDescent="0.2">
      <c r="A380" s="7"/>
    </row>
    <row r="381" spans="1:1" x14ac:dyDescent="0.2">
      <c r="A381" s="7"/>
    </row>
    <row r="382" spans="1:1" x14ac:dyDescent="0.2">
      <c r="A382" s="7"/>
    </row>
    <row r="383" spans="1:1" x14ac:dyDescent="0.2">
      <c r="A383" s="7"/>
    </row>
    <row r="384" spans="1:1" x14ac:dyDescent="0.2">
      <c r="A384" s="7"/>
    </row>
    <row r="385" spans="1:1" x14ac:dyDescent="0.2">
      <c r="A385" s="7"/>
    </row>
    <row r="386" spans="1:1" x14ac:dyDescent="0.2">
      <c r="A386" s="7"/>
    </row>
    <row r="387" spans="1:1" x14ac:dyDescent="0.2">
      <c r="A387" s="7"/>
    </row>
    <row r="388" spans="1:1" x14ac:dyDescent="0.2">
      <c r="A388" s="7"/>
    </row>
    <row r="389" spans="1:1" x14ac:dyDescent="0.2">
      <c r="A389" s="7"/>
    </row>
    <row r="390" spans="1:1" x14ac:dyDescent="0.2">
      <c r="A390" s="7"/>
    </row>
    <row r="391" spans="1:1" x14ac:dyDescent="0.2">
      <c r="A391" s="7"/>
    </row>
    <row r="392" spans="1:1" x14ac:dyDescent="0.2">
      <c r="A392" s="7"/>
    </row>
    <row r="393" spans="1:1" x14ac:dyDescent="0.2">
      <c r="A393" s="7"/>
    </row>
    <row r="394" spans="1:1" x14ac:dyDescent="0.2">
      <c r="A394" s="7"/>
    </row>
    <row r="395" spans="1:1" x14ac:dyDescent="0.2">
      <c r="A395" s="7"/>
    </row>
    <row r="396" spans="1:1" x14ac:dyDescent="0.2">
      <c r="A396" s="7"/>
    </row>
    <row r="397" spans="1:1" x14ac:dyDescent="0.2">
      <c r="A397" s="7"/>
    </row>
    <row r="398" spans="1:1" x14ac:dyDescent="0.2">
      <c r="A398" s="7"/>
    </row>
    <row r="399" spans="1:1" x14ac:dyDescent="0.2">
      <c r="A399" s="7"/>
    </row>
    <row r="400" spans="1:1" x14ac:dyDescent="0.2">
      <c r="A400" s="7"/>
    </row>
    <row r="401" spans="1:1" x14ac:dyDescent="0.2">
      <c r="A401" s="7"/>
    </row>
    <row r="402" spans="1:1" x14ac:dyDescent="0.2">
      <c r="A402" s="7"/>
    </row>
    <row r="403" spans="1:1" x14ac:dyDescent="0.2">
      <c r="A403" s="7"/>
    </row>
    <row r="404" spans="1:1" x14ac:dyDescent="0.2">
      <c r="A404" s="7"/>
    </row>
    <row r="405" spans="1:1" x14ac:dyDescent="0.2">
      <c r="A405" s="7"/>
    </row>
    <row r="406" spans="1:1" x14ac:dyDescent="0.2">
      <c r="A406" s="7"/>
    </row>
    <row r="407" spans="1:1" x14ac:dyDescent="0.2">
      <c r="A407" s="7"/>
    </row>
    <row r="408" spans="1:1" x14ac:dyDescent="0.2">
      <c r="A408" s="7"/>
    </row>
    <row r="409" spans="1:1" x14ac:dyDescent="0.2">
      <c r="A409" s="7"/>
    </row>
    <row r="410" spans="1:1" x14ac:dyDescent="0.2">
      <c r="A410" s="7"/>
    </row>
    <row r="411" spans="1:1" x14ac:dyDescent="0.2">
      <c r="A411" s="7"/>
    </row>
    <row r="412" spans="1:1" x14ac:dyDescent="0.2">
      <c r="A412" s="7"/>
    </row>
    <row r="413" spans="1:1" x14ac:dyDescent="0.2">
      <c r="A413" s="7"/>
    </row>
    <row r="414" spans="1:1" x14ac:dyDescent="0.2">
      <c r="A414" s="7"/>
    </row>
    <row r="415" spans="1:1" x14ac:dyDescent="0.2">
      <c r="A415" s="7"/>
    </row>
    <row r="416" spans="1:1" x14ac:dyDescent="0.2">
      <c r="A416" s="7"/>
    </row>
    <row r="417" spans="1:1" x14ac:dyDescent="0.2">
      <c r="A417" s="7"/>
    </row>
    <row r="418" spans="1:1" x14ac:dyDescent="0.2">
      <c r="A418" s="7"/>
    </row>
    <row r="419" spans="1:1" x14ac:dyDescent="0.2">
      <c r="A419" s="7"/>
    </row>
    <row r="420" spans="1:1" x14ac:dyDescent="0.2">
      <c r="A420" s="7"/>
    </row>
    <row r="421" spans="1:1" x14ac:dyDescent="0.2">
      <c r="A421" s="7"/>
    </row>
    <row r="422" spans="1:1" x14ac:dyDescent="0.2">
      <c r="A422" s="7"/>
    </row>
    <row r="423" spans="1:1" x14ac:dyDescent="0.2">
      <c r="A423" s="7"/>
    </row>
    <row r="424" spans="1:1" x14ac:dyDescent="0.2">
      <c r="A424" s="7"/>
    </row>
    <row r="425" spans="1:1" x14ac:dyDescent="0.2">
      <c r="A425" s="7"/>
    </row>
    <row r="426" spans="1:1" x14ac:dyDescent="0.2">
      <c r="A426" s="7"/>
    </row>
    <row r="427" spans="1:1" x14ac:dyDescent="0.2">
      <c r="A427" s="7"/>
    </row>
    <row r="428" spans="1:1" x14ac:dyDescent="0.2">
      <c r="A428" s="7"/>
    </row>
    <row r="429" spans="1:1" x14ac:dyDescent="0.2">
      <c r="A429" s="7"/>
    </row>
    <row r="430" spans="1:1" x14ac:dyDescent="0.2">
      <c r="A430" s="7"/>
    </row>
    <row r="431" spans="1:1" x14ac:dyDescent="0.2">
      <c r="A431" s="7"/>
    </row>
    <row r="432" spans="1:1" x14ac:dyDescent="0.2">
      <c r="A432" s="7"/>
    </row>
    <row r="433" spans="1:1" x14ac:dyDescent="0.2">
      <c r="A433" s="7"/>
    </row>
    <row r="434" spans="1:1" x14ac:dyDescent="0.2">
      <c r="A434" s="7"/>
    </row>
    <row r="435" spans="1:1" x14ac:dyDescent="0.2">
      <c r="A435" s="7"/>
    </row>
    <row r="436" spans="1:1" x14ac:dyDescent="0.2">
      <c r="A436" s="7"/>
    </row>
    <row r="437" spans="1:1" x14ac:dyDescent="0.2">
      <c r="A437" s="7"/>
    </row>
    <row r="438" spans="1:1" x14ac:dyDescent="0.2">
      <c r="A438" s="7"/>
    </row>
    <row r="439" spans="1:1" x14ac:dyDescent="0.2">
      <c r="A439" s="7"/>
    </row>
    <row r="440" spans="1:1" x14ac:dyDescent="0.2">
      <c r="A440" s="7"/>
    </row>
    <row r="441" spans="1:1" x14ac:dyDescent="0.2">
      <c r="A441" s="7"/>
    </row>
    <row r="442" spans="1:1" x14ac:dyDescent="0.2">
      <c r="A442" s="7"/>
    </row>
    <row r="443" spans="1:1" x14ac:dyDescent="0.2">
      <c r="A443" s="7"/>
    </row>
    <row r="444" spans="1:1" x14ac:dyDescent="0.2">
      <c r="A444" s="7"/>
    </row>
    <row r="445" spans="1:1" x14ac:dyDescent="0.2">
      <c r="A445" s="7"/>
    </row>
    <row r="446" spans="1:1" x14ac:dyDescent="0.2">
      <c r="A446" s="7"/>
    </row>
    <row r="447" spans="1:1" x14ac:dyDescent="0.2">
      <c r="A447" s="7"/>
    </row>
    <row r="448" spans="1:1" x14ac:dyDescent="0.2">
      <c r="A448" s="7"/>
    </row>
    <row r="449" spans="1:1" x14ac:dyDescent="0.2">
      <c r="A449" s="7"/>
    </row>
    <row r="450" spans="1:1" x14ac:dyDescent="0.2">
      <c r="A450" s="7"/>
    </row>
    <row r="451" spans="1:1" x14ac:dyDescent="0.2">
      <c r="A451" s="7"/>
    </row>
    <row r="452" spans="1:1" x14ac:dyDescent="0.2">
      <c r="A452" s="7"/>
    </row>
    <row r="453" spans="1:1" x14ac:dyDescent="0.2">
      <c r="A453" s="7"/>
    </row>
    <row r="454" spans="1:1" x14ac:dyDescent="0.2">
      <c r="A454" s="7"/>
    </row>
    <row r="455" spans="1:1" x14ac:dyDescent="0.2">
      <c r="A455" s="7"/>
    </row>
    <row r="456" spans="1:1" x14ac:dyDescent="0.2">
      <c r="A456" s="7"/>
    </row>
    <row r="457" spans="1:1" x14ac:dyDescent="0.2">
      <c r="A457" s="7"/>
    </row>
    <row r="458" spans="1:1" x14ac:dyDescent="0.2">
      <c r="A458" s="7"/>
    </row>
    <row r="459" spans="1:1" x14ac:dyDescent="0.2">
      <c r="A459" s="7"/>
    </row>
    <row r="460" spans="1:1" x14ac:dyDescent="0.2">
      <c r="A460" s="7"/>
    </row>
    <row r="461" spans="1:1" x14ac:dyDescent="0.2">
      <c r="A461" s="7"/>
    </row>
    <row r="462" spans="1:1" x14ac:dyDescent="0.2">
      <c r="A462" s="7"/>
    </row>
    <row r="463" spans="1:1" x14ac:dyDescent="0.2">
      <c r="A463" s="7"/>
    </row>
    <row r="464" spans="1:1" x14ac:dyDescent="0.2">
      <c r="A464" s="7"/>
    </row>
    <row r="465" spans="1:1" x14ac:dyDescent="0.2">
      <c r="A465" s="7"/>
    </row>
    <row r="466" spans="1:1" x14ac:dyDescent="0.2">
      <c r="A466" s="7"/>
    </row>
    <row r="467" spans="1:1" x14ac:dyDescent="0.2">
      <c r="A467" s="7"/>
    </row>
    <row r="468" spans="1:1" x14ac:dyDescent="0.2">
      <c r="A468" s="7"/>
    </row>
    <row r="469" spans="1:1" x14ac:dyDescent="0.2">
      <c r="A469" s="7"/>
    </row>
    <row r="470" spans="1:1" x14ac:dyDescent="0.2">
      <c r="A470" s="7"/>
    </row>
    <row r="471" spans="1:1" x14ac:dyDescent="0.2">
      <c r="A471" s="7"/>
    </row>
    <row r="472" spans="1:1" x14ac:dyDescent="0.2">
      <c r="A472" s="7"/>
    </row>
    <row r="473" spans="1:1" x14ac:dyDescent="0.2">
      <c r="A473" s="7"/>
    </row>
    <row r="474" spans="1:1" x14ac:dyDescent="0.2">
      <c r="A474" s="7"/>
    </row>
    <row r="475" spans="1:1" x14ac:dyDescent="0.2">
      <c r="A475" s="7"/>
    </row>
    <row r="476" spans="1:1" x14ac:dyDescent="0.2">
      <c r="A476" s="7"/>
    </row>
    <row r="477" spans="1:1" x14ac:dyDescent="0.2">
      <c r="A477" s="7"/>
    </row>
    <row r="478" spans="1:1" x14ac:dyDescent="0.2">
      <c r="A478" s="7"/>
    </row>
    <row r="479" spans="1:1" x14ac:dyDescent="0.2">
      <c r="A479" s="7"/>
    </row>
    <row r="480" spans="1:1" x14ac:dyDescent="0.2">
      <c r="A480" s="7"/>
    </row>
    <row r="481" spans="1:1" x14ac:dyDescent="0.2">
      <c r="A481" s="7"/>
    </row>
    <row r="482" spans="1:1" x14ac:dyDescent="0.2">
      <c r="A482" s="7"/>
    </row>
    <row r="483" spans="1:1" x14ac:dyDescent="0.2">
      <c r="A483" s="7"/>
    </row>
    <row r="484" spans="1:1" x14ac:dyDescent="0.2">
      <c r="A484" s="7"/>
    </row>
    <row r="485" spans="1:1" x14ac:dyDescent="0.2">
      <c r="A485" s="7"/>
    </row>
    <row r="486" spans="1:1" x14ac:dyDescent="0.2">
      <c r="A486" s="7"/>
    </row>
    <row r="487" spans="1:1" x14ac:dyDescent="0.2">
      <c r="A487" s="7"/>
    </row>
    <row r="488" spans="1:1" x14ac:dyDescent="0.2">
      <c r="A488" s="7"/>
    </row>
    <row r="489" spans="1:1" x14ac:dyDescent="0.2">
      <c r="A489" s="7"/>
    </row>
    <row r="490" spans="1:1" x14ac:dyDescent="0.2">
      <c r="A490" s="7"/>
    </row>
    <row r="491" spans="1:1" x14ac:dyDescent="0.2">
      <c r="A491" s="7"/>
    </row>
    <row r="492" spans="1:1" x14ac:dyDescent="0.2">
      <c r="A492" s="7"/>
    </row>
    <row r="493" spans="1:1" x14ac:dyDescent="0.2">
      <c r="A493" s="7"/>
    </row>
    <row r="494" spans="1:1" x14ac:dyDescent="0.2">
      <c r="A494" s="7"/>
    </row>
    <row r="495" spans="1:1" x14ac:dyDescent="0.2">
      <c r="A495" s="7"/>
    </row>
    <row r="496" spans="1:1" x14ac:dyDescent="0.2">
      <c r="A496" s="7"/>
    </row>
    <row r="497" spans="1:1" x14ac:dyDescent="0.2">
      <c r="A497" s="7"/>
    </row>
    <row r="498" spans="1:1" x14ac:dyDescent="0.2">
      <c r="A498" s="7"/>
    </row>
    <row r="499" spans="1:1" x14ac:dyDescent="0.2">
      <c r="A499" s="7"/>
    </row>
    <row r="500" spans="1:1" x14ac:dyDescent="0.2">
      <c r="A500" s="7"/>
    </row>
    <row r="501" spans="1:1" x14ac:dyDescent="0.2">
      <c r="A501"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B4F8B-F49B-2C4F-A968-47B435753ED4}">
  <dimension ref="A1:K501"/>
  <sheetViews>
    <sheetView tabSelected="1" workbookViewId="0">
      <selection activeCell="G3" sqref="G3"/>
    </sheetView>
  </sheetViews>
  <sheetFormatPr baseColWidth="10" defaultColWidth="11.1640625" defaultRowHeight="16" x14ac:dyDescent="0.2"/>
  <cols>
    <col min="1" max="1" width="12.6640625" bestFit="1" customWidth="1"/>
    <col min="2" max="2" width="21.6640625" bestFit="1" customWidth="1"/>
    <col min="3" max="3" width="25.5" bestFit="1" customWidth="1"/>
    <col min="4" max="4" width="24.6640625" bestFit="1" customWidth="1"/>
    <col min="5" max="5" width="22.83203125" bestFit="1" customWidth="1"/>
    <col min="6" max="6" width="23.33203125" bestFit="1" customWidth="1"/>
    <col min="7" max="7" width="18.5" bestFit="1" customWidth="1"/>
    <col min="8" max="8" width="15.6640625" bestFit="1" customWidth="1"/>
    <col min="9" max="9" width="13.1640625" bestFit="1" customWidth="1"/>
    <col min="10" max="10" width="19" bestFit="1" customWidth="1"/>
    <col min="11" max="11" width="24.5" bestFit="1" customWidth="1"/>
  </cols>
  <sheetData>
    <row r="1" spans="1:11" x14ac:dyDescent="0.2">
      <c r="A1" s="6" t="s">
        <v>16</v>
      </c>
      <c r="B1" s="6" t="s">
        <v>63</v>
      </c>
      <c r="C1" s="6" t="s">
        <v>70</v>
      </c>
      <c r="D1" s="6" t="s">
        <v>64</v>
      </c>
      <c r="E1" s="6" t="s">
        <v>65</v>
      </c>
      <c r="F1" s="6" t="s">
        <v>66</v>
      </c>
      <c r="G1" s="6" t="s">
        <v>67</v>
      </c>
      <c r="H1" s="6" t="s">
        <v>61</v>
      </c>
      <c r="I1" s="6" t="s">
        <v>62</v>
      </c>
      <c r="J1" s="6" t="s">
        <v>68</v>
      </c>
      <c r="K1" s="6" t="s">
        <v>69</v>
      </c>
    </row>
    <row r="2" spans="1:11" x14ac:dyDescent="0.2">
      <c r="A2" s="7" t="s">
        <v>17</v>
      </c>
    </row>
    <row r="3" spans="1:11" x14ac:dyDescent="0.2">
      <c r="A3" s="7" t="s">
        <v>18</v>
      </c>
      <c r="B3" s="15">
        <v>21.5</v>
      </c>
      <c r="C3" s="15" t="s">
        <v>79</v>
      </c>
      <c r="D3" s="15" t="s">
        <v>80</v>
      </c>
      <c r="E3" s="15" t="s">
        <v>81</v>
      </c>
      <c r="F3" s="15" t="s">
        <v>82</v>
      </c>
      <c r="G3" s="15" t="s">
        <v>83</v>
      </c>
      <c r="H3" s="15" t="s">
        <v>84</v>
      </c>
      <c r="I3" s="15" t="s">
        <v>85</v>
      </c>
      <c r="J3" s="15" t="s">
        <v>86</v>
      </c>
      <c r="K3" s="15" t="s">
        <v>87</v>
      </c>
    </row>
    <row r="4" spans="1:11" x14ac:dyDescent="0.2">
      <c r="A4" s="7" t="s">
        <v>19</v>
      </c>
    </row>
    <row r="5" spans="1:11" x14ac:dyDescent="0.2">
      <c r="A5" s="7" t="s">
        <v>20</v>
      </c>
    </row>
    <row r="6" spans="1:11" x14ac:dyDescent="0.2">
      <c r="A6" s="7" t="s">
        <v>21</v>
      </c>
    </row>
    <row r="7" spans="1:11" x14ac:dyDescent="0.2">
      <c r="A7" s="7" t="s">
        <v>22</v>
      </c>
    </row>
    <row r="8" spans="1:11" x14ac:dyDescent="0.2">
      <c r="A8" s="7" t="s">
        <v>23</v>
      </c>
    </row>
    <row r="9" spans="1:11" x14ac:dyDescent="0.2">
      <c r="A9" s="7" t="s">
        <v>24</v>
      </c>
    </row>
    <row r="10" spans="1:11" x14ac:dyDescent="0.2">
      <c r="A10" s="7" t="s">
        <v>25</v>
      </c>
    </row>
    <row r="11" spans="1:11" x14ac:dyDescent="0.2">
      <c r="A11" s="7" t="s">
        <v>26</v>
      </c>
    </row>
    <row r="12" spans="1:11" x14ac:dyDescent="0.2">
      <c r="A12" s="7" t="s">
        <v>27</v>
      </c>
    </row>
    <row r="13" spans="1:11" x14ac:dyDescent="0.2">
      <c r="A13" s="7" t="s">
        <v>28</v>
      </c>
    </row>
    <row r="14" spans="1:11" x14ac:dyDescent="0.2">
      <c r="A14" s="7" t="s">
        <v>29</v>
      </c>
    </row>
    <row r="15" spans="1:11" x14ac:dyDescent="0.2">
      <c r="A15" s="7" t="s">
        <v>30</v>
      </c>
    </row>
    <row r="16" spans="1:11" x14ac:dyDescent="0.2">
      <c r="A16" s="7" t="s">
        <v>31</v>
      </c>
    </row>
    <row r="17" spans="1:1" x14ac:dyDescent="0.2">
      <c r="A17" s="7" t="s">
        <v>32</v>
      </c>
    </row>
    <row r="18" spans="1:1" x14ac:dyDescent="0.2">
      <c r="A18" s="7" t="s">
        <v>33</v>
      </c>
    </row>
    <row r="19" spans="1:1" x14ac:dyDescent="0.2">
      <c r="A19" s="7" t="s">
        <v>34</v>
      </c>
    </row>
    <row r="20" spans="1:1" x14ac:dyDescent="0.2">
      <c r="A20" s="7" t="s">
        <v>35</v>
      </c>
    </row>
    <row r="21" spans="1:1" x14ac:dyDescent="0.2">
      <c r="A21" s="7" t="s">
        <v>36</v>
      </c>
    </row>
    <row r="22" spans="1:1" x14ac:dyDescent="0.2">
      <c r="A22" s="7" t="s">
        <v>37</v>
      </c>
    </row>
    <row r="23" spans="1:1" x14ac:dyDescent="0.2">
      <c r="A23" s="7" t="s">
        <v>38</v>
      </c>
    </row>
    <row r="24" spans="1:1" x14ac:dyDescent="0.2">
      <c r="A24" s="7" t="s">
        <v>39</v>
      </c>
    </row>
    <row r="25" spans="1:1" x14ac:dyDescent="0.2">
      <c r="A25" s="7" t="s">
        <v>40</v>
      </c>
    </row>
    <row r="26" spans="1:1" x14ac:dyDescent="0.2">
      <c r="A26" s="7" t="s">
        <v>41</v>
      </c>
    </row>
    <row r="27" spans="1:1" x14ac:dyDescent="0.2">
      <c r="A27" s="7" t="s">
        <v>42</v>
      </c>
    </row>
    <row r="28" spans="1:1" x14ac:dyDescent="0.2">
      <c r="A28" s="7" t="s">
        <v>43</v>
      </c>
    </row>
    <row r="29" spans="1:1" x14ac:dyDescent="0.2">
      <c r="A29" s="7" t="s">
        <v>44</v>
      </c>
    </row>
    <row r="30" spans="1:1" x14ac:dyDescent="0.2">
      <c r="A30" s="7" t="s">
        <v>45</v>
      </c>
    </row>
    <row r="31" spans="1:1" x14ac:dyDescent="0.2">
      <c r="A31" s="7"/>
    </row>
    <row r="32" spans="1:1" x14ac:dyDescent="0.2">
      <c r="A32" s="7"/>
    </row>
    <row r="33" spans="1:1" x14ac:dyDescent="0.2">
      <c r="A33" s="7"/>
    </row>
    <row r="34" spans="1:1" x14ac:dyDescent="0.2">
      <c r="A34" s="7"/>
    </row>
    <row r="35" spans="1:1" x14ac:dyDescent="0.2">
      <c r="A35" s="7"/>
    </row>
    <row r="36" spans="1:1" x14ac:dyDescent="0.2">
      <c r="A36" s="7"/>
    </row>
    <row r="37" spans="1:1" x14ac:dyDescent="0.2">
      <c r="A37" s="7"/>
    </row>
    <row r="38" spans="1:1" x14ac:dyDescent="0.2">
      <c r="A38" s="7"/>
    </row>
    <row r="39" spans="1:1" x14ac:dyDescent="0.2">
      <c r="A39" s="7"/>
    </row>
    <row r="40" spans="1:1" x14ac:dyDescent="0.2">
      <c r="A40" s="7"/>
    </row>
    <row r="41" spans="1:1" x14ac:dyDescent="0.2">
      <c r="A41" s="7"/>
    </row>
    <row r="42" spans="1:1" x14ac:dyDescent="0.2">
      <c r="A42" s="7"/>
    </row>
    <row r="43" spans="1:1" x14ac:dyDescent="0.2">
      <c r="A43" s="7"/>
    </row>
    <row r="44" spans="1:1" x14ac:dyDescent="0.2">
      <c r="A44" s="7"/>
    </row>
    <row r="45" spans="1:1" x14ac:dyDescent="0.2">
      <c r="A45" s="7"/>
    </row>
    <row r="46" spans="1:1" x14ac:dyDescent="0.2">
      <c r="A46" s="7"/>
    </row>
    <row r="47" spans="1:1" x14ac:dyDescent="0.2">
      <c r="A47" s="7"/>
    </row>
    <row r="48" spans="1:1" x14ac:dyDescent="0.2">
      <c r="A48" s="7"/>
    </row>
    <row r="49" spans="1:1" x14ac:dyDescent="0.2">
      <c r="A49" s="7"/>
    </row>
    <row r="50" spans="1:1" x14ac:dyDescent="0.2">
      <c r="A50" s="7"/>
    </row>
    <row r="51" spans="1:1" x14ac:dyDescent="0.2">
      <c r="A51" s="7"/>
    </row>
    <row r="52" spans="1:1" x14ac:dyDescent="0.2">
      <c r="A52" s="7"/>
    </row>
    <row r="53" spans="1:1" x14ac:dyDescent="0.2">
      <c r="A53" s="7"/>
    </row>
    <row r="54" spans="1:1" x14ac:dyDescent="0.2">
      <c r="A54" s="7"/>
    </row>
    <row r="55" spans="1:1" x14ac:dyDescent="0.2">
      <c r="A55" s="7"/>
    </row>
    <row r="56" spans="1:1" x14ac:dyDescent="0.2">
      <c r="A56" s="7"/>
    </row>
    <row r="57" spans="1:1" x14ac:dyDescent="0.2">
      <c r="A57" s="7"/>
    </row>
    <row r="58" spans="1:1" x14ac:dyDescent="0.2">
      <c r="A58" s="7"/>
    </row>
    <row r="59" spans="1:1" x14ac:dyDescent="0.2">
      <c r="A59" s="7"/>
    </row>
    <row r="60" spans="1:1" x14ac:dyDescent="0.2">
      <c r="A60" s="7"/>
    </row>
    <row r="61" spans="1:1" x14ac:dyDescent="0.2">
      <c r="A61" s="7"/>
    </row>
    <row r="62" spans="1:1" x14ac:dyDescent="0.2">
      <c r="A62" s="7"/>
    </row>
    <row r="63" spans="1:1" x14ac:dyDescent="0.2">
      <c r="A63" s="7"/>
    </row>
    <row r="64" spans="1:1" x14ac:dyDescent="0.2">
      <c r="A64" s="7"/>
    </row>
    <row r="65" spans="1:1" x14ac:dyDescent="0.2">
      <c r="A65" s="7"/>
    </row>
    <row r="66" spans="1:1" x14ac:dyDescent="0.2">
      <c r="A66" s="7"/>
    </row>
    <row r="67" spans="1:1" x14ac:dyDescent="0.2">
      <c r="A67" s="7"/>
    </row>
    <row r="68" spans="1:1" x14ac:dyDescent="0.2">
      <c r="A68" s="7"/>
    </row>
    <row r="69" spans="1:1" x14ac:dyDescent="0.2">
      <c r="A69" s="7"/>
    </row>
    <row r="70" spans="1:1" x14ac:dyDescent="0.2">
      <c r="A70" s="7"/>
    </row>
    <row r="71" spans="1:1" x14ac:dyDescent="0.2">
      <c r="A71" s="7"/>
    </row>
    <row r="72" spans="1:1" x14ac:dyDescent="0.2">
      <c r="A72" s="7"/>
    </row>
    <row r="73" spans="1:1" x14ac:dyDescent="0.2">
      <c r="A73" s="7"/>
    </row>
    <row r="74" spans="1:1" x14ac:dyDescent="0.2">
      <c r="A74" s="7"/>
    </row>
    <row r="75" spans="1:1" x14ac:dyDescent="0.2">
      <c r="A75" s="7"/>
    </row>
    <row r="76" spans="1:1" x14ac:dyDescent="0.2">
      <c r="A76" s="7"/>
    </row>
    <row r="77" spans="1:1" x14ac:dyDescent="0.2">
      <c r="A77" s="7"/>
    </row>
    <row r="78" spans="1:1" x14ac:dyDescent="0.2">
      <c r="A78" s="7"/>
    </row>
    <row r="79" spans="1:1" x14ac:dyDescent="0.2">
      <c r="A79" s="7"/>
    </row>
    <row r="80" spans="1:1" x14ac:dyDescent="0.2">
      <c r="A80" s="7"/>
    </row>
    <row r="81" spans="1:1" x14ac:dyDescent="0.2">
      <c r="A81" s="7"/>
    </row>
    <row r="82" spans="1:1" x14ac:dyDescent="0.2">
      <c r="A82" s="7"/>
    </row>
    <row r="83" spans="1:1" x14ac:dyDescent="0.2">
      <c r="A83" s="7"/>
    </row>
    <row r="84" spans="1:1" x14ac:dyDescent="0.2">
      <c r="A84" s="7"/>
    </row>
    <row r="85" spans="1:1" x14ac:dyDescent="0.2">
      <c r="A85" s="7"/>
    </row>
    <row r="86" spans="1:1" x14ac:dyDescent="0.2">
      <c r="A86" s="7"/>
    </row>
    <row r="87" spans="1:1" x14ac:dyDescent="0.2">
      <c r="A87" s="7"/>
    </row>
    <row r="88" spans="1:1" x14ac:dyDescent="0.2">
      <c r="A88" s="7"/>
    </row>
    <row r="89" spans="1:1" x14ac:dyDescent="0.2">
      <c r="A89" s="7"/>
    </row>
    <row r="90" spans="1:1" x14ac:dyDescent="0.2">
      <c r="A90" s="7"/>
    </row>
    <row r="91" spans="1:1" x14ac:dyDescent="0.2">
      <c r="A91" s="7"/>
    </row>
    <row r="92" spans="1:1" x14ac:dyDescent="0.2">
      <c r="A92" s="7"/>
    </row>
    <row r="93" spans="1:1" x14ac:dyDescent="0.2">
      <c r="A93" s="7"/>
    </row>
    <row r="94" spans="1:1" x14ac:dyDescent="0.2">
      <c r="A94" s="7"/>
    </row>
    <row r="95" spans="1:1" x14ac:dyDescent="0.2">
      <c r="A95" s="7"/>
    </row>
    <row r="96" spans="1:1" x14ac:dyDescent="0.2">
      <c r="A96" s="7"/>
    </row>
    <row r="97" spans="1:1" x14ac:dyDescent="0.2">
      <c r="A97" s="7"/>
    </row>
    <row r="98" spans="1:1" x14ac:dyDescent="0.2">
      <c r="A98" s="7"/>
    </row>
    <row r="99" spans="1:1" x14ac:dyDescent="0.2">
      <c r="A99" s="7"/>
    </row>
    <row r="100" spans="1:1" x14ac:dyDescent="0.2">
      <c r="A100" s="7"/>
    </row>
    <row r="101" spans="1:1" x14ac:dyDescent="0.2">
      <c r="A101" s="7"/>
    </row>
    <row r="102" spans="1:1" x14ac:dyDescent="0.2">
      <c r="A102" s="7"/>
    </row>
    <row r="103" spans="1:1" x14ac:dyDescent="0.2">
      <c r="A103" s="7"/>
    </row>
    <row r="104" spans="1:1" x14ac:dyDescent="0.2">
      <c r="A104" s="7"/>
    </row>
    <row r="105" spans="1:1" x14ac:dyDescent="0.2">
      <c r="A105" s="7"/>
    </row>
    <row r="106" spans="1:1" x14ac:dyDescent="0.2">
      <c r="A106" s="7"/>
    </row>
    <row r="107" spans="1:1" x14ac:dyDescent="0.2">
      <c r="A107" s="7"/>
    </row>
    <row r="108" spans="1:1" x14ac:dyDescent="0.2">
      <c r="A108" s="7"/>
    </row>
    <row r="109" spans="1:1" x14ac:dyDescent="0.2">
      <c r="A109" s="7"/>
    </row>
    <row r="110" spans="1:1" x14ac:dyDescent="0.2">
      <c r="A110" s="7"/>
    </row>
    <row r="111" spans="1:1" x14ac:dyDescent="0.2">
      <c r="A111" s="7"/>
    </row>
    <row r="112" spans="1:1" x14ac:dyDescent="0.2">
      <c r="A112" s="7"/>
    </row>
    <row r="113" spans="1:1" x14ac:dyDescent="0.2">
      <c r="A113" s="7"/>
    </row>
    <row r="114" spans="1:1" x14ac:dyDescent="0.2">
      <c r="A114" s="7"/>
    </row>
    <row r="115" spans="1:1" x14ac:dyDescent="0.2">
      <c r="A115" s="7"/>
    </row>
    <row r="116" spans="1:1" x14ac:dyDescent="0.2">
      <c r="A116" s="7"/>
    </row>
    <row r="117" spans="1:1" x14ac:dyDescent="0.2">
      <c r="A117" s="7"/>
    </row>
    <row r="118" spans="1:1" x14ac:dyDescent="0.2">
      <c r="A118" s="7"/>
    </row>
    <row r="119" spans="1:1" x14ac:dyDescent="0.2">
      <c r="A119" s="7"/>
    </row>
    <row r="120" spans="1:1" x14ac:dyDescent="0.2">
      <c r="A120" s="7"/>
    </row>
    <row r="121" spans="1:1" x14ac:dyDescent="0.2">
      <c r="A121" s="7"/>
    </row>
    <row r="122" spans="1:1" x14ac:dyDescent="0.2">
      <c r="A122" s="7"/>
    </row>
    <row r="123" spans="1:1" x14ac:dyDescent="0.2">
      <c r="A123" s="7"/>
    </row>
    <row r="124" spans="1:1" x14ac:dyDescent="0.2">
      <c r="A124" s="7"/>
    </row>
    <row r="125" spans="1:1" x14ac:dyDescent="0.2">
      <c r="A125" s="7"/>
    </row>
    <row r="126" spans="1:1" x14ac:dyDescent="0.2">
      <c r="A126" s="7"/>
    </row>
    <row r="127" spans="1:1" x14ac:dyDescent="0.2">
      <c r="A127" s="7"/>
    </row>
    <row r="128" spans="1:1" x14ac:dyDescent="0.2">
      <c r="A128" s="7"/>
    </row>
    <row r="129" spans="1:1" x14ac:dyDescent="0.2">
      <c r="A129" s="7"/>
    </row>
    <row r="130" spans="1:1" x14ac:dyDescent="0.2">
      <c r="A130" s="7"/>
    </row>
    <row r="131" spans="1:1" x14ac:dyDescent="0.2">
      <c r="A131" s="7"/>
    </row>
    <row r="132" spans="1:1" x14ac:dyDescent="0.2">
      <c r="A132" s="7"/>
    </row>
    <row r="133" spans="1:1" x14ac:dyDescent="0.2">
      <c r="A133" s="7"/>
    </row>
    <row r="134" spans="1:1" x14ac:dyDescent="0.2">
      <c r="A134" s="7"/>
    </row>
    <row r="135" spans="1:1" x14ac:dyDescent="0.2">
      <c r="A135" s="7"/>
    </row>
    <row r="136" spans="1:1" x14ac:dyDescent="0.2">
      <c r="A136" s="7"/>
    </row>
    <row r="137" spans="1:1" x14ac:dyDescent="0.2">
      <c r="A137" s="7"/>
    </row>
    <row r="138" spans="1:1" x14ac:dyDescent="0.2">
      <c r="A138" s="7"/>
    </row>
    <row r="139" spans="1:1" x14ac:dyDescent="0.2">
      <c r="A139" s="7"/>
    </row>
    <row r="140" spans="1:1" x14ac:dyDescent="0.2">
      <c r="A140" s="7"/>
    </row>
    <row r="141" spans="1:1" x14ac:dyDescent="0.2">
      <c r="A141" s="7"/>
    </row>
    <row r="142" spans="1:1" x14ac:dyDescent="0.2">
      <c r="A142" s="7"/>
    </row>
    <row r="143" spans="1:1" x14ac:dyDescent="0.2">
      <c r="A143" s="7"/>
    </row>
    <row r="144" spans="1:1" x14ac:dyDescent="0.2">
      <c r="A144" s="7"/>
    </row>
    <row r="145" spans="1:1" x14ac:dyDescent="0.2">
      <c r="A145" s="7"/>
    </row>
    <row r="146" spans="1:1" x14ac:dyDescent="0.2">
      <c r="A146" s="7"/>
    </row>
    <row r="147" spans="1:1" x14ac:dyDescent="0.2">
      <c r="A147" s="7"/>
    </row>
    <row r="148" spans="1:1" x14ac:dyDescent="0.2">
      <c r="A148" s="7"/>
    </row>
    <row r="149" spans="1:1" x14ac:dyDescent="0.2">
      <c r="A149" s="7"/>
    </row>
    <row r="150" spans="1:1" x14ac:dyDescent="0.2">
      <c r="A150" s="7"/>
    </row>
    <row r="151" spans="1:1" x14ac:dyDescent="0.2">
      <c r="A151" s="7"/>
    </row>
    <row r="152" spans="1:1" x14ac:dyDescent="0.2">
      <c r="A152" s="7"/>
    </row>
    <row r="153" spans="1:1" x14ac:dyDescent="0.2">
      <c r="A153" s="7"/>
    </row>
    <row r="154" spans="1:1" x14ac:dyDescent="0.2">
      <c r="A154" s="7"/>
    </row>
    <row r="155" spans="1:1" x14ac:dyDescent="0.2">
      <c r="A155" s="7"/>
    </row>
    <row r="156" spans="1:1" x14ac:dyDescent="0.2">
      <c r="A156" s="7"/>
    </row>
    <row r="157" spans="1:1" x14ac:dyDescent="0.2">
      <c r="A157" s="7"/>
    </row>
    <row r="158" spans="1:1" x14ac:dyDescent="0.2">
      <c r="A158" s="7"/>
    </row>
    <row r="159" spans="1:1" x14ac:dyDescent="0.2">
      <c r="A159" s="7"/>
    </row>
    <row r="160" spans="1:1" x14ac:dyDescent="0.2">
      <c r="A160" s="7"/>
    </row>
    <row r="161" spans="1:1" x14ac:dyDescent="0.2">
      <c r="A161" s="7"/>
    </row>
    <row r="162" spans="1:1" x14ac:dyDescent="0.2">
      <c r="A162" s="7"/>
    </row>
    <row r="163" spans="1:1" x14ac:dyDescent="0.2">
      <c r="A163" s="7"/>
    </row>
    <row r="164" spans="1:1" x14ac:dyDescent="0.2">
      <c r="A164" s="7"/>
    </row>
    <row r="165" spans="1:1" x14ac:dyDescent="0.2">
      <c r="A165" s="7"/>
    </row>
    <row r="166" spans="1:1" x14ac:dyDescent="0.2">
      <c r="A166" s="7"/>
    </row>
    <row r="167" spans="1:1" x14ac:dyDescent="0.2">
      <c r="A167" s="7"/>
    </row>
    <row r="168" spans="1:1" x14ac:dyDescent="0.2">
      <c r="A168" s="7"/>
    </row>
    <row r="169" spans="1:1" x14ac:dyDescent="0.2">
      <c r="A169" s="7"/>
    </row>
    <row r="170" spans="1:1" x14ac:dyDescent="0.2">
      <c r="A170" s="7"/>
    </row>
    <row r="171" spans="1:1" x14ac:dyDescent="0.2">
      <c r="A171" s="7"/>
    </row>
    <row r="172" spans="1:1" x14ac:dyDescent="0.2">
      <c r="A172" s="7"/>
    </row>
    <row r="173" spans="1:1" x14ac:dyDescent="0.2">
      <c r="A173" s="7"/>
    </row>
    <row r="174" spans="1:1" x14ac:dyDescent="0.2">
      <c r="A174" s="7"/>
    </row>
    <row r="175" spans="1:1" x14ac:dyDescent="0.2">
      <c r="A175" s="7"/>
    </row>
    <row r="176" spans="1:1" x14ac:dyDescent="0.2">
      <c r="A176" s="7"/>
    </row>
    <row r="177" spans="1:1" x14ac:dyDescent="0.2">
      <c r="A177" s="7"/>
    </row>
    <row r="178" spans="1:1" x14ac:dyDescent="0.2">
      <c r="A178" s="7"/>
    </row>
    <row r="179" spans="1:1" x14ac:dyDescent="0.2">
      <c r="A179" s="7"/>
    </row>
    <row r="180" spans="1:1" x14ac:dyDescent="0.2">
      <c r="A180" s="7"/>
    </row>
    <row r="181" spans="1:1" x14ac:dyDescent="0.2">
      <c r="A181" s="7"/>
    </row>
    <row r="182" spans="1:1" x14ac:dyDescent="0.2">
      <c r="A182" s="7"/>
    </row>
    <row r="183" spans="1:1" x14ac:dyDescent="0.2">
      <c r="A183" s="7"/>
    </row>
    <row r="184" spans="1:1" x14ac:dyDescent="0.2">
      <c r="A184" s="7"/>
    </row>
    <row r="185" spans="1:1" x14ac:dyDescent="0.2">
      <c r="A185" s="7"/>
    </row>
    <row r="186" spans="1:1" x14ac:dyDescent="0.2">
      <c r="A186" s="7"/>
    </row>
    <row r="187" spans="1:1" x14ac:dyDescent="0.2">
      <c r="A187" s="7"/>
    </row>
    <row r="188" spans="1:1" x14ac:dyDescent="0.2">
      <c r="A188" s="7"/>
    </row>
    <row r="189" spans="1:1" x14ac:dyDescent="0.2">
      <c r="A189" s="7"/>
    </row>
    <row r="190" spans="1:1" x14ac:dyDescent="0.2">
      <c r="A190" s="7"/>
    </row>
    <row r="191" spans="1:1" x14ac:dyDescent="0.2">
      <c r="A191" s="7"/>
    </row>
    <row r="192" spans="1:1" x14ac:dyDescent="0.2">
      <c r="A192" s="7"/>
    </row>
    <row r="193" spans="1:1" x14ac:dyDescent="0.2">
      <c r="A193" s="7"/>
    </row>
    <row r="194" spans="1:1" x14ac:dyDescent="0.2">
      <c r="A194" s="7"/>
    </row>
    <row r="195" spans="1:1" x14ac:dyDescent="0.2">
      <c r="A195" s="7"/>
    </row>
    <row r="196" spans="1:1" x14ac:dyDescent="0.2">
      <c r="A196" s="7"/>
    </row>
    <row r="197" spans="1:1" x14ac:dyDescent="0.2">
      <c r="A197" s="7"/>
    </row>
    <row r="198" spans="1:1" x14ac:dyDescent="0.2">
      <c r="A198" s="7"/>
    </row>
    <row r="199" spans="1:1" x14ac:dyDescent="0.2">
      <c r="A199" s="7"/>
    </row>
    <row r="200" spans="1:1" x14ac:dyDescent="0.2">
      <c r="A200" s="7"/>
    </row>
    <row r="201" spans="1:1" x14ac:dyDescent="0.2">
      <c r="A201" s="7"/>
    </row>
    <row r="202" spans="1:1" x14ac:dyDescent="0.2">
      <c r="A202" s="7"/>
    </row>
    <row r="203" spans="1:1" x14ac:dyDescent="0.2">
      <c r="A203" s="7"/>
    </row>
    <row r="204" spans="1:1" x14ac:dyDescent="0.2">
      <c r="A204" s="7"/>
    </row>
    <row r="205" spans="1:1" x14ac:dyDescent="0.2">
      <c r="A205" s="7"/>
    </row>
    <row r="206" spans="1:1" x14ac:dyDescent="0.2">
      <c r="A206" s="7"/>
    </row>
    <row r="207" spans="1:1" x14ac:dyDescent="0.2">
      <c r="A207" s="7"/>
    </row>
    <row r="208" spans="1:1" x14ac:dyDescent="0.2">
      <c r="A208" s="7"/>
    </row>
    <row r="209" spans="1:1" x14ac:dyDescent="0.2">
      <c r="A209" s="7"/>
    </row>
    <row r="210" spans="1:1" x14ac:dyDescent="0.2">
      <c r="A210" s="7"/>
    </row>
    <row r="211" spans="1:1" x14ac:dyDescent="0.2">
      <c r="A211" s="7"/>
    </row>
    <row r="212" spans="1:1" x14ac:dyDescent="0.2">
      <c r="A212" s="7"/>
    </row>
    <row r="213" spans="1:1" x14ac:dyDescent="0.2">
      <c r="A213" s="7"/>
    </row>
    <row r="214" spans="1:1" x14ac:dyDescent="0.2">
      <c r="A214" s="7"/>
    </row>
    <row r="215" spans="1:1" x14ac:dyDescent="0.2">
      <c r="A215" s="7"/>
    </row>
    <row r="216" spans="1:1" x14ac:dyDescent="0.2">
      <c r="A216" s="7"/>
    </row>
    <row r="217" spans="1:1" x14ac:dyDescent="0.2">
      <c r="A217" s="7"/>
    </row>
    <row r="218" spans="1:1" x14ac:dyDescent="0.2">
      <c r="A218" s="7"/>
    </row>
    <row r="219" spans="1:1" x14ac:dyDescent="0.2">
      <c r="A219" s="7"/>
    </row>
    <row r="220" spans="1:1" x14ac:dyDescent="0.2">
      <c r="A220" s="7"/>
    </row>
    <row r="221" spans="1:1" x14ac:dyDescent="0.2">
      <c r="A221" s="7"/>
    </row>
    <row r="222" spans="1:1" x14ac:dyDescent="0.2">
      <c r="A222" s="7"/>
    </row>
    <row r="223" spans="1:1" x14ac:dyDescent="0.2">
      <c r="A223" s="7"/>
    </row>
    <row r="224" spans="1:1" x14ac:dyDescent="0.2">
      <c r="A224" s="7"/>
    </row>
    <row r="225" spans="1:1" x14ac:dyDescent="0.2">
      <c r="A225" s="7"/>
    </row>
    <row r="226" spans="1:1" x14ac:dyDescent="0.2">
      <c r="A226" s="7"/>
    </row>
    <row r="227" spans="1:1" x14ac:dyDescent="0.2">
      <c r="A227" s="7"/>
    </row>
    <row r="228" spans="1:1" x14ac:dyDescent="0.2">
      <c r="A228" s="7"/>
    </row>
    <row r="229" spans="1:1" x14ac:dyDescent="0.2">
      <c r="A229" s="7"/>
    </row>
    <row r="230" spans="1:1" x14ac:dyDescent="0.2">
      <c r="A230" s="7"/>
    </row>
    <row r="231" spans="1:1" x14ac:dyDescent="0.2">
      <c r="A231" s="7"/>
    </row>
    <row r="232" spans="1:1" x14ac:dyDescent="0.2">
      <c r="A232" s="7"/>
    </row>
    <row r="233" spans="1:1" x14ac:dyDescent="0.2">
      <c r="A233" s="7"/>
    </row>
    <row r="234" spans="1:1" x14ac:dyDescent="0.2">
      <c r="A234" s="7"/>
    </row>
    <row r="235" spans="1:1" x14ac:dyDescent="0.2">
      <c r="A235" s="7"/>
    </row>
    <row r="236" spans="1:1" x14ac:dyDescent="0.2">
      <c r="A236" s="7"/>
    </row>
    <row r="237" spans="1:1" x14ac:dyDescent="0.2">
      <c r="A237" s="7"/>
    </row>
    <row r="238" spans="1:1" x14ac:dyDescent="0.2">
      <c r="A238" s="7"/>
    </row>
    <row r="239" spans="1:1" x14ac:dyDescent="0.2">
      <c r="A239" s="7"/>
    </row>
    <row r="240" spans="1:1" x14ac:dyDescent="0.2">
      <c r="A240" s="7"/>
    </row>
    <row r="241" spans="1:1" x14ac:dyDescent="0.2">
      <c r="A241" s="7"/>
    </row>
    <row r="242" spans="1:1" x14ac:dyDescent="0.2">
      <c r="A242" s="7"/>
    </row>
    <row r="243" spans="1:1" x14ac:dyDescent="0.2">
      <c r="A243" s="7"/>
    </row>
    <row r="244" spans="1:1" x14ac:dyDescent="0.2">
      <c r="A244" s="7"/>
    </row>
    <row r="245" spans="1:1" x14ac:dyDescent="0.2">
      <c r="A245" s="7"/>
    </row>
    <row r="246" spans="1:1" x14ac:dyDescent="0.2">
      <c r="A246" s="7"/>
    </row>
    <row r="247" spans="1:1" x14ac:dyDescent="0.2">
      <c r="A247" s="7"/>
    </row>
    <row r="248" spans="1:1" x14ac:dyDescent="0.2">
      <c r="A248" s="7"/>
    </row>
    <row r="249" spans="1:1" x14ac:dyDescent="0.2">
      <c r="A249" s="7"/>
    </row>
    <row r="250" spans="1:1" x14ac:dyDescent="0.2">
      <c r="A250" s="7"/>
    </row>
    <row r="251" spans="1:1" x14ac:dyDescent="0.2">
      <c r="A251" s="7"/>
    </row>
    <row r="252" spans="1:1" x14ac:dyDescent="0.2">
      <c r="A252" s="7"/>
    </row>
    <row r="253" spans="1:1" x14ac:dyDescent="0.2">
      <c r="A253" s="7"/>
    </row>
    <row r="254" spans="1:1" x14ac:dyDescent="0.2">
      <c r="A254" s="7"/>
    </row>
    <row r="255" spans="1:1" x14ac:dyDescent="0.2">
      <c r="A255" s="7"/>
    </row>
    <row r="256" spans="1:1" x14ac:dyDescent="0.2">
      <c r="A256" s="7"/>
    </row>
    <row r="257" spans="1:1" x14ac:dyDescent="0.2">
      <c r="A257" s="7"/>
    </row>
    <row r="258" spans="1:1" x14ac:dyDescent="0.2">
      <c r="A258" s="7"/>
    </row>
    <row r="259" spans="1:1" x14ac:dyDescent="0.2">
      <c r="A259" s="7"/>
    </row>
    <row r="260" spans="1:1" x14ac:dyDescent="0.2">
      <c r="A260" s="7"/>
    </row>
    <row r="261" spans="1:1" x14ac:dyDescent="0.2">
      <c r="A261" s="7"/>
    </row>
    <row r="262" spans="1:1" x14ac:dyDescent="0.2">
      <c r="A262" s="7"/>
    </row>
    <row r="263" spans="1:1" x14ac:dyDescent="0.2">
      <c r="A263" s="7"/>
    </row>
    <row r="264" spans="1:1" x14ac:dyDescent="0.2">
      <c r="A264" s="7"/>
    </row>
    <row r="265" spans="1:1" x14ac:dyDescent="0.2">
      <c r="A265" s="7"/>
    </row>
    <row r="266" spans="1:1" x14ac:dyDescent="0.2">
      <c r="A266" s="7"/>
    </row>
    <row r="267" spans="1:1" x14ac:dyDescent="0.2">
      <c r="A267" s="7"/>
    </row>
    <row r="268" spans="1:1" x14ac:dyDescent="0.2">
      <c r="A268" s="7"/>
    </row>
    <row r="269" spans="1:1" x14ac:dyDescent="0.2">
      <c r="A269" s="7"/>
    </row>
    <row r="270" spans="1:1" x14ac:dyDescent="0.2">
      <c r="A270" s="7"/>
    </row>
    <row r="271" spans="1:1" x14ac:dyDescent="0.2">
      <c r="A271" s="7"/>
    </row>
    <row r="272" spans="1:1" x14ac:dyDescent="0.2">
      <c r="A272" s="7"/>
    </row>
    <row r="273" spans="1:1" x14ac:dyDescent="0.2">
      <c r="A273" s="7"/>
    </row>
    <row r="274" spans="1:1" x14ac:dyDescent="0.2">
      <c r="A274" s="7"/>
    </row>
    <row r="275" spans="1:1" x14ac:dyDescent="0.2">
      <c r="A275" s="7"/>
    </row>
    <row r="276" spans="1:1" x14ac:dyDescent="0.2">
      <c r="A276" s="7"/>
    </row>
    <row r="277" spans="1:1" x14ac:dyDescent="0.2">
      <c r="A277" s="7"/>
    </row>
    <row r="278" spans="1:1" x14ac:dyDescent="0.2">
      <c r="A278" s="7"/>
    </row>
    <row r="279" spans="1:1" x14ac:dyDescent="0.2">
      <c r="A279" s="7"/>
    </row>
    <row r="280" spans="1:1" x14ac:dyDescent="0.2">
      <c r="A280" s="7"/>
    </row>
    <row r="281" spans="1:1" x14ac:dyDescent="0.2">
      <c r="A281" s="7"/>
    </row>
    <row r="282" spans="1:1" x14ac:dyDescent="0.2">
      <c r="A282" s="7"/>
    </row>
    <row r="283" spans="1:1" x14ac:dyDescent="0.2">
      <c r="A283" s="7"/>
    </row>
    <row r="284" spans="1:1" x14ac:dyDescent="0.2">
      <c r="A284" s="7"/>
    </row>
    <row r="285" spans="1:1" x14ac:dyDescent="0.2">
      <c r="A285" s="7"/>
    </row>
    <row r="286" spans="1:1" x14ac:dyDescent="0.2">
      <c r="A286" s="7"/>
    </row>
    <row r="287" spans="1:1" x14ac:dyDescent="0.2">
      <c r="A287" s="7"/>
    </row>
    <row r="288" spans="1:1" x14ac:dyDescent="0.2">
      <c r="A288" s="7"/>
    </row>
    <row r="289" spans="1:1" x14ac:dyDescent="0.2">
      <c r="A289" s="7"/>
    </row>
    <row r="290" spans="1:1" x14ac:dyDescent="0.2">
      <c r="A290" s="7"/>
    </row>
    <row r="291" spans="1:1" x14ac:dyDescent="0.2">
      <c r="A291" s="7"/>
    </row>
    <row r="292" spans="1:1" x14ac:dyDescent="0.2">
      <c r="A292" s="7"/>
    </row>
    <row r="293" spans="1:1" x14ac:dyDescent="0.2">
      <c r="A293" s="7"/>
    </row>
    <row r="294" spans="1:1" x14ac:dyDescent="0.2">
      <c r="A294" s="7"/>
    </row>
    <row r="295" spans="1:1" x14ac:dyDescent="0.2">
      <c r="A295" s="7"/>
    </row>
    <row r="296" spans="1:1" x14ac:dyDescent="0.2">
      <c r="A296" s="7"/>
    </row>
    <row r="297" spans="1:1" x14ac:dyDescent="0.2">
      <c r="A297" s="7"/>
    </row>
    <row r="298" spans="1:1" x14ac:dyDescent="0.2">
      <c r="A298" s="7"/>
    </row>
    <row r="299" spans="1:1" x14ac:dyDescent="0.2">
      <c r="A299" s="7"/>
    </row>
    <row r="300" spans="1:1" x14ac:dyDescent="0.2">
      <c r="A300" s="7"/>
    </row>
    <row r="301" spans="1:1" x14ac:dyDescent="0.2">
      <c r="A301" s="7"/>
    </row>
    <row r="302" spans="1:1" x14ac:dyDescent="0.2">
      <c r="A302" s="7"/>
    </row>
    <row r="303" spans="1:1" x14ac:dyDescent="0.2">
      <c r="A303" s="7"/>
    </row>
    <row r="304" spans="1:1" x14ac:dyDescent="0.2">
      <c r="A304" s="7"/>
    </row>
    <row r="305" spans="1:1" x14ac:dyDescent="0.2">
      <c r="A305" s="7"/>
    </row>
    <row r="306" spans="1:1" x14ac:dyDescent="0.2">
      <c r="A306" s="7"/>
    </row>
    <row r="307" spans="1:1" x14ac:dyDescent="0.2">
      <c r="A307" s="7"/>
    </row>
    <row r="308" spans="1:1" x14ac:dyDescent="0.2">
      <c r="A308" s="7"/>
    </row>
    <row r="309" spans="1:1" x14ac:dyDescent="0.2">
      <c r="A309" s="7"/>
    </row>
    <row r="310" spans="1:1" x14ac:dyDescent="0.2">
      <c r="A310" s="7"/>
    </row>
    <row r="311" spans="1:1" x14ac:dyDescent="0.2">
      <c r="A311" s="7"/>
    </row>
    <row r="312" spans="1:1" x14ac:dyDescent="0.2">
      <c r="A312" s="7"/>
    </row>
    <row r="313" spans="1:1" x14ac:dyDescent="0.2">
      <c r="A313" s="7"/>
    </row>
    <row r="314" spans="1:1" x14ac:dyDescent="0.2">
      <c r="A314" s="7"/>
    </row>
    <row r="315" spans="1:1" x14ac:dyDescent="0.2">
      <c r="A315" s="7"/>
    </row>
    <row r="316" spans="1:1" x14ac:dyDescent="0.2">
      <c r="A316" s="7"/>
    </row>
    <row r="317" spans="1:1" x14ac:dyDescent="0.2">
      <c r="A317" s="7"/>
    </row>
    <row r="318" spans="1:1" x14ac:dyDescent="0.2">
      <c r="A318" s="7"/>
    </row>
    <row r="319" spans="1:1" x14ac:dyDescent="0.2">
      <c r="A319" s="7"/>
    </row>
    <row r="320" spans="1:1" x14ac:dyDescent="0.2">
      <c r="A320" s="7"/>
    </row>
    <row r="321" spans="1:1" x14ac:dyDescent="0.2">
      <c r="A321" s="7"/>
    </row>
    <row r="322" spans="1:1" x14ac:dyDescent="0.2">
      <c r="A322" s="7"/>
    </row>
    <row r="323" spans="1:1" x14ac:dyDescent="0.2">
      <c r="A323" s="7"/>
    </row>
    <row r="324" spans="1:1" x14ac:dyDescent="0.2">
      <c r="A324" s="7"/>
    </row>
    <row r="325" spans="1:1" x14ac:dyDescent="0.2">
      <c r="A325" s="7"/>
    </row>
    <row r="326" spans="1:1" x14ac:dyDescent="0.2">
      <c r="A326" s="7"/>
    </row>
    <row r="327" spans="1:1" x14ac:dyDescent="0.2">
      <c r="A327" s="7"/>
    </row>
    <row r="328" spans="1:1" x14ac:dyDescent="0.2">
      <c r="A328" s="7"/>
    </row>
    <row r="329" spans="1:1" x14ac:dyDescent="0.2">
      <c r="A329" s="7"/>
    </row>
    <row r="330" spans="1:1" x14ac:dyDescent="0.2">
      <c r="A330" s="7"/>
    </row>
    <row r="331" spans="1:1" x14ac:dyDescent="0.2">
      <c r="A331" s="7"/>
    </row>
    <row r="332" spans="1:1" x14ac:dyDescent="0.2">
      <c r="A332" s="7"/>
    </row>
    <row r="333" spans="1:1" x14ac:dyDescent="0.2">
      <c r="A333" s="7"/>
    </row>
    <row r="334" spans="1:1" x14ac:dyDescent="0.2">
      <c r="A334" s="7"/>
    </row>
    <row r="335" spans="1:1" x14ac:dyDescent="0.2">
      <c r="A335" s="7"/>
    </row>
    <row r="336" spans="1:1" x14ac:dyDescent="0.2">
      <c r="A336" s="7"/>
    </row>
    <row r="337" spans="1:1" x14ac:dyDescent="0.2">
      <c r="A337" s="7"/>
    </row>
    <row r="338" spans="1:1" x14ac:dyDescent="0.2">
      <c r="A338" s="7"/>
    </row>
    <row r="339" spans="1:1" x14ac:dyDescent="0.2">
      <c r="A339" s="7"/>
    </row>
    <row r="340" spans="1:1" x14ac:dyDescent="0.2">
      <c r="A340" s="7"/>
    </row>
    <row r="341" spans="1:1" x14ac:dyDescent="0.2">
      <c r="A341" s="7"/>
    </row>
    <row r="342" spans="1:1" x14ac:dyDescent="0.2">
      <c r="A342" s="7"/>
    </row>
    <row r="343" spans="1:1" x14ac:dyDescent="0.2">
      <c r="A343" s="7"/>
    </row>
    <row r="344" spans="1:1" x14ac:dyDescent="0.2">
      <c r="A344" s="7"/>
    </row>
    <row r="345" spans="1:1" x14ac:dyDescent="0.2">
      <c r="A345" s="7"/>
    </row>
    <row r="346" spans="1:1" x14ac:dyDescent="0.2">
      <c r="A346" s="7"/>
    </row>
    <row r="347" spans="1:1" x14ac:dyDescent="0.2">
      <c r="A347" s="7"/>
    </row>
    <row r="348" spans="1:1" x14ac:dyDescent="0.2">
      <c r="A348" s="7"/>
    </row>
    <row r="349" spans="1:1" x14ac:dyDescent="0.2">
      <c r="A349" s="7"/>
    </row>
    <row r="350" spans="1:1" x14ac:dyDescent="0.2">
      <c r="A350" s="7"/>
    </row>
    <row r="351" spans="1:1" x14ac:dyDescent="0.2">
      <c r="A351" s="7"/>
    </row>
    <row r="352" spans="1:1" x14ac:dyDescent="0.2">
      <c r="A352" s="7"/>
    </row>
    <row r="353" spans="1:1" x14ac:dyDescent="0.2">
      <c r="A353" s="7"/>
    </row>
    <row r="354" spans="1:1" x14ac:dyDescent="0.2">
      <c r="A354" s="7"/>
    </row>
    <row r="355" spans="1:1" x14ac:dyDescent="0.2">
      <c r="A355" s="7"/>
    </row>
    <row r="356" spans="1:1" x14ac:dyDescent="0.2">
      <c r="A356" s="7"/>
    </row>
    <row r="357" spans="1:1" x14ac:dyDescent="0.2">
      <c r="A357" s="7"/>
    </row>
    <row r="358" spans="1:1" x14ac:dyDescent="0.2">
      <c r="A358" s="7"/>
    </row>
    <row r="359" spans="1:1" x14ac:dyDescent="0.2">
      <c r="A359" s="7"/>
    </row>
    <row r="360" spans="1:1" x14ac:dyDescent="0.2">
      <c r="A360" s="7"/>
    </row>
    <row r="361" spans="1:1" x14ac:dyDescent="0.2">
      <c r="A361" s="7"/>
    </row>
    <row r="362" spans="1:1" x14ac:dyDescent="0.2">
      <c r="A362" s="7"/>
    </row>
    <row r="363" spans="1:1" x14ac:dyDescent="0.2">
      <c r="A363" s="7"/>
    </row>
    <row r="364" spans="1:1" x14ac:dyDescent="0.2">
      <c r="A364" s="7"/>
    </row>
    <row r="365" spans="1:1" x14ac:dyDescent="0.2">
      <c r="A365" s="7"/>
    </row>
    <row r="366" spans="1:1" x14ac:dyDescent="0.2">
      <c r="A366" s="7"/>
    </row>
    <row r="367" spans="1:1" x14ac:dyDescent="0.2">
      <c r="A367" s="7"/>
    </row>
    <row r="368" spans="1:1" x14ac:dyDescent="0.2">
      <c r="A368" s="7"/>
    </row>
    <row r="369" spans="1:1" x14ac:dyDescent="0.2">
      <c r="A369" s="7"/>
    </row>
    <row r="370" spans="1:1" x14ac:dyDescent="0.2">
      <c r="A370" s="7"/>
    </row>
    <row r="371" spans="1:1" x14ac:dyDescent="0.2">
      <c r="A371" s="7"/>
    </row>
    <row r="372" spans="1:1" x14ac:dyDescent="0.2">
      <c r="A372" s="7"/>
    </row>
    <row r="373" spans="1:1" x14ac:dyDescent="0.2">
      <c r="A373" s="7"/>
    </row>
    <row r="374" spans="1:1" x14ac:dyDescent="0.2">
      <c r="A374" s="7"/>
    </row>
    <row r="375" spans="1:1" x14ac:dyDescent="0.2">
      <c r="A375" s="7"/>
    </row>
    <row r="376" spans="1:1" x14ac:dyDescent="0.2">
      <c r="A376" s="7"/>
    </row>
    <row r="377" spans="1:1" x14ac:dyDescent="0.2">
      <c r="A377" s="7"/>
    </row>
    <row r="378" spans="1:1" x14ac:dyDescent="0.2">
      <c r="A378" s="7"/>
    </row>
    <row r="379" spans="1:1" x14ac:dyDescent="0.2">
      <c r="A379" s="7"/>
    </row>
    <row r="380" spans="1:1" x14ac:dyDescent="0.2">
      <c r="A380" s="7"/>
    </row>
    <row r="381" spans="1:1" x14ac:dyDescent="0.2">
      <c r="A381" s="7"/>
    </row>
    <row r="382" spans="1:1" x14ac:dyDescent="0.2">
      <c r="A382" s="7"/>
    </row>
    <row r="383" spans="1:1" x14ac:dyDescent="0.2">
      <c r="A383" s="7"/>
    </row>
    <row r="384" spans="1:1" x14ac:dyDescent="0.2">
      <c r="A384" s="7"/>
    </row>
    <row r="385" spans="1:1" x14ac:dyDescent="0.2">
      <c r="A385" s="7"/>
    </row>
    <row r="386" spans="1:1" x14ac:dyDescent="0.2">
      <c r="A386" s="7"/>
    </row>
    <row r="387" spans="1:1" x14ac:dyDescent="0.2">
      <c r="A387" s="7"/>
    </row>
    <row r="388" spans="1:1" x14ac:dyDescent="0.2">
      <c r="A388" s="7"/>
    </row>
    <row r="389" spans="1:1" x14ac:dyDescent="0.2">
      <c r="A389" s="7"/>
    </row>
    <row r="390" spans="1:1" x14ac:dyDescent="0.2">
      <c r="A390" s="7"/>
    </row>
    <row r="391" spans="1:1" x14ac:dyDescent="0.2">
      <c r="A391" s="7"/>
    </row>
    <row r="392" spans="1:1" x14ac:dyDescent="0.2">
      <c r="A392" s="7"/>
    </row>
    <row r="393" spans="1:1" x14ac:dyDescent="0.2">
      <c r="A393" s="7"/>
    </row>
    <row r="394" spans="1:1" x14ac:dyDescent="0.2">
      <c r="A394" s="7"/>
    </row>
    <row r="395" spans="1:1" x14ac:dyDescent="0.2">
      <c r="A395" s="7"/>
    </row>
    <row r="396" spans="1:1" x14ac:dyDescent="0.2">
      <c r="A396" s="7"/>
    </row>
    <row r="397" spans="1:1" x14ac:dyDescent="0.2">
      <c r="A397" s="7"/>
    </row>
    <row r="398" spans="1:1" x14ac:dyDescent="0.2">
      <c r="A398" s="7"/>
    </row>
    <row r="399" spans="1:1" x14ac:dyDescent="0.2">
      <c r="A399" s="7"/>
    </row>
    <row r="400" spans="1:1" x14ac:dyDescent="0.2">
      <c r="A400" s="7"/>
    </row>
    <row r="401" spans="1:1" x14ac:dyDescent="0.2">
      <c r="A401" s="7"/>
    </row>
    <row r="402" spans="1:1" x14ac:dyDescent="0.2">
      <c r="A402" s="7"/>
    </row>
    <row r="403" spans="1:1" x14ac:dyDescent="0.2">
      <c r="A403" s="7"/>
    </row>
    <row r="404" spans="1:1" x14ac:dyDescent="0.2">
      <c r="A404" s="7"/>
    </row>
    <row r="405" spans="1:1" x14ac:dyDescent="0.2">
      <c r="A405" s="7"/>
    </row>
    <row r="406" spans="1:1" x14ac:dyDescent="0.2">
      <c r="A406" s="7"/>
    </row>
    <row r="407" spans="1:1" x14ac:dyDescent="0.2">
      <c r="A407" s="7"/>
    </row>
    <row r="408" spans="1:1" x14ac:dyDescent="0.2">
      <c r="A408" s="7"/>
    </row>
    <row r="409" spans="1:1" x14ac:dyDescent="0.2">
      <c r="A409" s="7"/>
    </row>
    <row r="410" spans="1:1" x14ac:dyDescent="0.2">
      <c r="A410" s="7"/>
    </row>
    <row r="411" spans="1:1" x14ac:dyDescent="0.2">
      <c r="A411" s="7"/>
    </row>
    <row r="412" spans="1:1" x14ac:dyDescent="0.2">
      <c r="A412" s="7"/>
    </row>
    <row r="413" spans="1:1" x14ac:dyDescent="0.2">
      <c r="A413" s="7"/>
    </row>
    <row r="414" spans="1:1" x14ac:dyDescent="0.2">
      <c r="A414" s="7"/>
    </row>
    <row r="415" spans="1:1" x14ac:dyDescent="0.2">
      <c r="A415" s="7"/>
    </row>
    <row r="416" spans="1:1" x14ac:dyDescent="0.2">
      <c r="A416" s="7"/>
    </row>
    <row r="417" spans="1:1" x14ac:dyDescent="0.2">
      <c r="A417" s="7"/>
    </row>
    <row r="418" spans="1:1" x14ac:dyDescent="0.2">
      <c r="A418" s="7"/>
    </row>
    <row r="419" spans="1:1" x14ac:dyDescent="0.2">
      <c r="A419" s="7"/>
    </row>
    <row r="420" spans="1:1" x14ac:dyDescent="0.2">
      <c r="A420" s="7"/>
    </row>
    <row r="421" spans="1:1" x14ac:dyDescent="0.2">
      <c r="A421" s="7"/>
    </row>
    <row r="422" spans="1:1" x14ac:dyDescent="0.2">
      <c r="A422" s="7"/>
    </row>
    <row r="423" spans="1:1" x14ac:dyDescent="0.2">
      <c r="A423" s="7"/>
    </row>
    <row r="424" spans="1:1" x14ac:dyDescent="0.2">
      <c r="A424" s="7"/>
    </row>
    <row r="425" spans="1:1" x14ac:dyDescent="0.2">
      <c r="A425" s="7"/>
    </row>
    <row r="426" spans="1:1" x14ac:dyDescent="0.2">
      <c r="A426" s="7"/>
    </row>
    <row r="427" spans="1:1" x14ac:dyDescent="0.2">
      <c r="A427" s="7"/>
    </row>
    <row r="428" spans="1:1" x14ac:dyDescent="0.2">
      <c r="A428" s="7"/>
    </row>
    <row r="429" spans="1:1" x14ac:dyDescent="0.2">
      <c r="A429" s="7"/>
    </row>
    <row r="430" spans="1:1" x14ac:dyDescent="0.2">
      <c r="A430" s="7"/>
    </row>
    <row r="431" spans="1:1" x14ac:dyDescent="0.2">
      <c r="A431" s="7"/>
    </row>
    <row r="432" spans="1:1" x14ac:dyDescent="0.2">
      <c r="A432" s="7"/>
    </row>
    <row r="433" spans="1:1" x14ac:dyDescent="0.2">
      <c r="A433" s="7"/>
    </row>
    <row r="434" spans="1:1" x14ac:dyDescent="0.2">
      <c r="A434" s="7"/>
    </row>
    <row r="435" spans="1:1" x14ac:dyDescent="0.2">
      <c r="A435" s="7"/>
    </row>
    <row r="436" spans="1:1" x14ac:dyDescent="0.2">
      <c r="A436" s="7"/>
    </row>
    <row r="437" spans="1:1" x14ac:dyDescent="0.2">
      <c r="A437" s="7"/>
    </row>
    <row r="438" spans="1:1" x14ac:dyDescent="0.2">
      <c r="A438" s="7"/>
    </row>
    <row r="439" spans="1:1" x14ac:dyDescent="0.2">
      <c r="A439" s="7"/>
    </row>
    <row r="440" spans="1:1" x14ac:dyDescent="0.2">
      <c r="A440" s="7"/>
    </row>
    <row r="441" spans="1:1" x14ac:dyDescent="0.2">
      <c r="A441" s="7"/>
    </row>
    <row r="442" spans="1:1" x14ac:dyDescent="0.2">
      <c r="A442" s="7"/>
    </row>
    <row r="443" spans="1:1" x14ac:dyDescent="0.2">
      <c r="A443" s="7"/>
    </row>
    <row r="444" spans="1:1" x14ac:dyDescent="0.2">
      <c r="A444" s="7"/>
    </row>
    <row r="445" spans="1:1" x14ac:dyDescent="0.2">
      <c r="A445" s="7"/>
    </row>
    <row r="446" spans="1:1" x14ac:dyDescent="0.2">
      <c r="A446" s="7"/>
    </row>
    <row r="447" spans="1:1" x14ac:dyDescent="0.2">
      <c r="A447" s="7"/>
    </row>
    <row r="448" spans="1:1" x14ac:dyDescent="0.2">
      <c r="A448" s="7"/>
    </row>
    <row r="449" spans="1:1" x14ac:dyDescent="0.2">
      <c r="A449" s="7"/>
    </row>
    <row r="450" spans="1:1" x14ac:dyDescent="0.2">
      <c r="A450" s="7"/>
    </row>
    <row r="451" spans="1:1" x14ac:dyDescent="0.2">
      <c r="A451" s="7"/>
    </row>
    <row r="452" spans="1:1" x14ac:dyDescent="0.2">
      <c r="A452" s="7"/>
    </row>
    <row r="453" spans="1:1" x14ac:dyDescent="0.2">
      <c r="A453" s="7"/>
    </row>
    <row r="454" spans="1:1" x14ac:dyDescent="0.2">
      <c r="A454" s="7"/>
    </row>
    <row r="455" spans="1:1" x14ac:dyDescent="0.2">
      <c r="A455" s="7"/>
    </row>
    <row r="456" spans="1:1" x14ac:dyDescent="0.2">
      <c r="A456" s="7"/>
    </row>
    <row r="457" spans="1:1" x14ac:dyDescent="0.2">
      <c r="A457" s="7"/>
    </row>
    <row r="458" spans="1:1" x14ac:dyDescent="0.2">
      <c r="A458" s="7"/>
    </row>
    <row r="459" spans="1:1" x14ac:dyDescent="0.2">
      <c r="A459" s="7"/>
    </row>
    <row r="460" spans="1:1" x14ac:dyDescent="0.2">
      <c r="A460" s="7"/>
    </row>
    <row r="461" spans="1:1" x14ac:dyDescent="0.2">
      <c r="A461" s="7"/>
    </row>
    <row r="462" spans="1:1" x14ac:dyDescent="0.2">
      <c r="A462" s="7"/>
    </row>
    <row r="463" spans="1:1" x14ac:dyDescent="0.2">
      <c r="A463" s="7"/>
    </row>
    <row r="464" spans="1:1" x14ac:dyDescent="0.2">
      <c r="A464" s="7"/>
    </row>
    <row r="465" spans="1:1" x14ac:dyDescent="0.2">
      <c r="A465" s="7"/>
    </row>
    <row r="466" spans="1:1" x14ac:dyDescent="0.2">
      <c r="A466" s="7"/>
    </row>
    <row r="467" spans="1:1" x14ac:dyDescent="0.2">
      <c r="A467" s="7"/>
    </row>
    <row r="468" spans="1:1" x14ac:dyDescent="0.2">
      <c r="A468" s="7"/>
    </row>
    <row r="469" spans="1:1" x14ac:dyDescent="0.2">
      <c r="A469" s="7"/>
    </row>
    <row r="470" spans="1:1" x14ac:dyDescent="0.2">
      <c r="A470" s="7"/>
    </row>
    <row r="471" spans="1:1" x14ac:dyDescent="0.2">
      <c r="A471" s="7"/>
    </row>
    <row r="472" spans="1:1" x14ac:dyDescent="0.2">
      <c r="A472" s="7"/>
    </row>
    <row r="473" spans="1:1" x14ac:dyDescent="0.2">
      <c r="A473" s="7"/>
    </row>
    <row r="474" spans="1:1" x14ac:dyDescent="0.2">
      <c r="A474" s="7"/>
    </row>
    <row r="475" spans="1:1" x14ac:dyDescent="0.2">
      <c r="A475" s="7"/>
    </row>
    <row r="476" spans="1:1" x14ac:dyDescent="0.2">
      <c r="A476" s="7"/>
    </row>
    <row r="477" spans="1:1" x14ac:dyDescent="0.2">
      <c r="A477" s="7"/>
    </row>
    <row r="478" spans="1:1" x14ac:dyDescent="0.2">
      <c r="A478" s="7"/>
    </row>
    <row r="479" spans="1:1" x14ac:dyDescent="0.2">
      <c r="A479" s="7"/>
    </row>
    <row r="480" spans="1:1" x14ac:dyDescent="0.2">
      <c r="A480" s="7"/>
    </row>
    <row r="481" spans="1:1" x14ac:dyDescent="0.2">
      <c r="A481" s="7"/>
    </row>
    <row r="482" spans="1:1" x14ac:dyDescent="0.2">
      <c r="A482" s="7"/>
    </row>
    <row r="483" spans="1:1" x14ac:dyDescent="0.2">
      <c r="A483" s="7"/>
    </row>
    <row r="484" spans="1:1" x14ac:dyDescent="0.2">
      <c r="A484" s="7"/>
    </row>
    <row r="485" spans="1:1" x14ac:dyDescent="0.2">
      <c r="A485" s="7"/>
    </row>
    <row r="486" spans="1:1" x14ac:dyDescent="0.2">
      <c r="A486" s="7"/>
    </row>
    <row r="487" spans="1:1" x14ac:dyDescent="0.2">
      <c r="A487" s="7"/>
    </row>
    <row r="488" spans="1:1" x14ac:dyDescent="0.2">
      <c r="A488" s="7"/>
    </row>
    <row r="489" spans="1:1" x14ac:dyDescent="0.2">
      <c r="A489" s="7"/>
    </row>
    <row r="490" spans="1:1" x14ac:dyDescent="0.2">
      <c r="A490" s="7"/>
    </row>
    <row r="491" spans="1:1" x14ac:dyDescent="0.2">
      <c r="A491" s="7"/>
    </row>
    <row r="492" spans="1:1" x14ac:dyDescent="0.2">
      <c r="A492" s="7"/>
    </row>
    <row r="493" spans="1:1" x14ac:dyDescent="0.2">
      <c r="A493" s="7"/>
    </row>
    <row r="494" spans="1:1" x14ac:dyDescent="0.2">
      <c r="A494" s="7"/>
    </row>
    <row r="495" spans="1:1" x14ac:dyDescent="0.2">
      <c r="A495" s="7"/>
    </row>
    <row r="496" spans="1:1" x14ac:dyDescent="0.2">
      <c r="A496" s="7"/>
    </row>
    <row r="497" spans="1:1" x14ac:dyDescent="0.2">
      <c r="A497" s="7"/>
    </row>
    <row r="498" spans="1:1" x14ac:dyDescent="0.2">
      <c r="A498" s="7"/>
    </row>
    <row r="499" spans="1:1" x14ac:dyDescent="0.2">
      <c r="A499" s="7"/>
    </row>
    <row r="500" spans="1:1" x14ac:dyDescent="0.2">
      <c r="A500" s="7"/>
    </row>
    <row r="501" spans="1:1" x14ac:dyDescent="0.2">
      <c r="A501" s="7"/>
    </row>
  </sheetData>
  <pageMargins left="0.7" right="0.7" top="0.75" bottom="0.75" header="0.3" footer="0.3"/>
  <ignoredErrors>
    <ignoredError sqref="C3:K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C1038-8A06-324B-8630-D7A5B2105FD1}">
  <dimension ref="A1:B501"/>
  <sheetViews>
    <sheetView workbookViewId="0">
      <selection activeCell="A3" sqref="A3"/>
    </sheetView>
  </sheetViews>
  <sheetFormatPr baseColWidth="10" defaultColWidth="11.1640625" defaultRowHeight="16" x14ac:dyDescent="0.2"/>
  <cols>
    <col min="1" max="1" width="12.6640625" bestFit="1" customWidth="1"/>
    <col min="2" max="2" width="56.1640625" customWidth="1"/>
  </cols>
  <sheetData>
    <row r="1" spans="1:2" x14ac:dyDescent="0.2">
      <c r="A1" s="6" t="s">
        <v>16</v>
      </c>
      <c r="B1" s="6" t="s">
        <v>103</v>
      </c>
    </row>
    <row r="2" spans="1:2" ht="115" customHeight="1" x14ac:dyDescent="0.2">
      <c r="A2" s="7" t="s">
        <v>17</v>
      </c>
    </row>
    <row r="3" spans="1:2" ht="179" customHeight="1" x14ac:dyDescent="0.2">
      <c r="A3" s="7" t="s">
        <v>18</v>
      </c>
      <c r="B3" s="17" t="s">
        <v>102</v>
      </c>
    </row>
    <row r="4" spans="1:2" x14ac:dyDescent="0.2">
      <c r="A4" s="7" t="s">
        <v>19</v>
      </c>
    </row>
    <row r="5" spans="1:2" x14ac:dyDescent="0.2">
      <c r="A5" s="7" t="s">
        <v>20</v>
      </c>
    </row>
    <row r="6" spans="1:2" x14ac:dyDescent="0.2">
      <c r="A6" s="7" t="s">
        <v>21</v>
      </c>
    </row>
    <row r="7" spans="1:2" x14ac:dyDescent="0.2">
      <c r="A7" s="7" t="s">
        <v>22</v>
      </c>
    </row>
    <row r="8" spans="1:2" x14ac:dyDescent="0.2">
      <c r="A8" s="7" t="s">
        <v>23</v>
      </c>
    </row>
    <row r="9" spans="1:2" x14ac:dyDescent="0.2">
      <c r="A9" s="7" t="s">
        <v>24</v>
      </c>
    </row>
    <row r="10" spans="1:2" x14ac:dyDescent="0.2">
      <c r="A10" s="7" t="s">
        <v>25</v>
      </c>
    </row>
    <row r="11" spans="1:2" x14ac:dyDescent="0.2">
      <c r="A11" s="7" t="s">
        <v>26</v>
      </c>
    </row>
    <row r="12" spans="1:2" x14ac:dyDescent="0.2">
      <c r="A12" s="7" t="s">
        <v>27</v>
      </c>
    </row>
    <row r="13" spans="1:2" x14ac:dyDescent="0.2">
      <c r="A13" s="7" t="s">
        <v>28</v>
      </c>
    </row>
    <row r="14" spans="1:2" x14ac:dyDescent="0.2">
      <c r="A14" s="7" t="s">
        <v>29</v>
      </c>
    </row>
    <row r="15" spans="1:2" x14ac:dyDescent="0.2">
      <c r="A15" s="7" t="s">
        <v>30</v>
      </c>
    </row>
    <row r="16" spans="1:2" x14ac:dyDescent="0.2">
      <c r="A16" s="7" t="s">
        <v>31</v>
      </c>
    </row>
    <row r="17" spans="1:1" x14ac:dyDescent="0.2">
      <c r="A17" s="7" t="s">
        <v>32</v>
      </c>
    </row>
    <row r="18" spans="1:1" x14ac:dyDescent="0.2">
      <c r="A18" s="7" t="s">
        <v>33</v>
      </c>
    </row>
    <row r="19" spans="1:1" x14ac:dyDescent="0.2">
      <c r="A19" s="7" t="s">
        <v>34</v>
      </c>
    </row>
    <row r="20" spans="1:1" x14ac:dyDescent="0.2">
      <c r="A20" s="7" t="s">
        <v>35</v>
      </c>
    </row>
    <row r="21" spans="1:1" x14ac:dyDescent="0.2">
      <c r="A21" s="7" t="s">
        <v>36</v>
      </c>
    </row>
    <row r="22" spans="1:1" x14ac:dyDescent="0.2">
      <c r="A22" s="7" t="s">
        <v>37</v>
      </c>
    </row>
    <row r="23" spans="1:1" x14ac:dyDescent="0.2">
      <c r="A23" s="7" t="s">
        <v>38</v>
      </c>
    </row>
    <row r="24" spans="1:1" x14ac:dyDescent="0.2">
      <c r="A24" s="7" t="s">
        <v>39</v>
      </c>
    </row>
    <row r="25" spans="1:1" x14ac:dyDescent="0.2">
      <c r="A25" s="7" t="s">
        <v>40</v>
      </c>
    </row>
    <row r="26" spans="1:1" x14ac:dyDescent="0.2">
      <c r="A26" s="7" t="s">
        <v>41</v>
      </c>
    </row>
    <row r="27" spans="1:1" x14ac:dyDescent="0.2">
      <c r="A27" s="7" t="s">
        <v>42</v>
      </c>
    </row>
    <row r="28" spans="1:1" x14ac:dyDescent="0.2">
      <c r="A28" s="7" t="s">
        <v>43</v>
      </c>
    </row>
    <row r="29" spans="1:1" x14ac:dyDescent="0.2">
      <c r="A29" s="7" t="s">
        <v>44</v>
      </c>
    </row>
    <row r="30" spans="1:1" x14ac:dyDescent="0.2">
      <c r="A30" s="7" t="s">
        <v>45</v>
      </c>
    </row>
    <row r="31" spans="1:1" x14ac:dyDescent="0.2">
      <c r="A31" s="7"/>
    </row>
    <row r="32" spans="1:1" x14ac:dyDescent="0.2">
      <c r="A32" s="7"/>
    </row>
    <row r="33" spans="1:1" x14ac:dyDescent="0.2">
      <c r="A33" s="7"/>
    </row>
    <row r="34" spans="1:1" x14ac:dyDescent="0.2">
      <c r="A34" s="7"/>
    </row>
    <row r="35" spans="1:1" x14ac:dyDescent="0.2">
      <c r="A35" s="7"/>
    </row>
    <row r="36" spans="1:1" x14ac:dyDescent="0.2">
      <c r="A36" s="7"/>
    </row>
    <row r="37" spans="1:1" x14ac:dyDescent="0.2">
      <c r="A37" s="7"/>
    </row>
    <row r="38" spans="1:1" x14ac:dyDescent="0.2">
      <c r="A38" s="7"/>
    </row>
    <row r="39" spans="1:1" x14ac:dyDescent="0.2">
      <c r="A39" s="7"/>
    </row>
    <row r="40" spans="1:1" x14ac:dyDescent="0.2">
      <c r="A40" s="7"/>
    </row>
    <row r="41" spans="1:1" x14ac:dyDescent="0.2">
      <c r="A41" s="7"/>
    </row>
    <row r="42" spans="1:1" x14ac:dyDescent="0.2">
      <c r="A42" s="7"/>
    </row>
    <row r="43" spans="1:1" x14ac:dyDescent="0.2">
      <c r="A43" s="7"/>
    </row>
    <row r="44" spans="1:1" x14ac:dyDescent="0.2">
      <c r="A44" s="7"/>
    </row>
    <row r="45" spans="1:1" x14ac:dyDescent="0.2">
      <c r="A45" s="7"/>
    </row>
    <row r="46" spans="1:1" x14ac:dyDescent="0.2">
      <c r="A46" s="7"/>
    </row>
    <row r="47" spans="1:1" x14ac:dyDescent="0.2">
      <c r="A47" s="7"/>
    </row>
    <row r="48" spans="1:1" x14ac:dyDescent="0.2">
      <c r="A48" s="7"/>
    </row>
    <row r="49" spans="1:1" x14ac:dyDescent="0.2">
      <c r="A49" s="7"/>
    </row>
    <row r="50" spans="1:1" x14ac:dyDescent="0.2">
      <c r="A50" s="7"/>
    </row>
    <row r="51" spans="1:1" x14ac:dyDescent="0.2">
      <c r="A51" s="7"/>
    </row>
    <row r="52" spans="1:1" x14ac:dyDescent="0.2">
      <c r="A52" s="7"/>
    </row>
    <row r="53" spans="1:1" x14ac:dyDescent="0.2">
      <c r="A53" s="7"/>
    </row>
    <row r="54" spans="1:1" x14ac:dyDescent="0.2">
      <c r="A54" s="7"/>
    </row>
    <row r="55" spans="1:1" x14ac:dyDescent="0.2">
      <c r="A55" s="7"/>
    </row>
    <row r="56" spans="1:1" x14ac:dyDescent="0.2">
      <c r="A56" s="7"/>
    </row>
    <row r="57" spans="1:1" x14ac:dyDescent="0.2">
      <c r="A57" s="7"/>
    </row>
    <row r="58" spans="1:1" x14ac:dyDescent="0.2">
      <c r="A58" s="7"/>
    </row>
    <row r="59" spans="1:1" x14ac:dyDescent="0.2">
      <c r="A59" s="7"/>
    </row>
    <row r="60" spans="1:1" x14ac:dyDescent="0.2">
      <c r="A60" s="7"/>
    </row>
    <row r="61" spans="1:1" x14ac:dyDescent="0.2">
      <c r="A61" s="7"/>
    </row>
    <row r="62" spans="1:1" x14ac:dyDescent="0.2">
      <c r="A62" s="7"/>
    </row>
    <row r="63" spans="1:1" x14ac:dyDescent="0.2">
      <c r="A63" s="7"/>
    </row>
    <row r="64" spans="1:1" x14ac:dyDescent="0.2">
      <c r="A64" s="7"/>
    </row>
    <row r="65" spans="1:1" x14ac:dyDescent="0.2">
      <c r="A65" s="7"/>
    </row>
    <row r="66" spans="1:1" x14ac:dyDescent="0.2">
      <c r="A66" s="7"/>
    </row>
    <row r="67" spans="1:1" x14ac:dyDescent="0.2">
      <c r="A67" s="7"/>
    </row>
    <row r="68" spans="1:1" x14ac:dyDescent="0.2">
      <c r="A68" s="7"/>
    </row>
    <row r="69" spans="1:1" x14ac:dyDescent="0.2">
      <c r="A69" s="7"/>
    </row>
    <row r="70" spans="1:1" x14ac:dyDescent="0.2">
      <c r="A70" s="7"/>
    </row>
    <row r="71" spans="1:1" x14ac:dyDescent="0.2">
      <c r="A71" s="7"/>
    </row>
    <row r="72" spans="1:1" x14ac:dyDescent="0.2">
      <c r="A72" s="7"/>
    </row>
    <row r="73" spans="1:1" x14ac:dyDescent="0.2">
      <c r="A73" s="7"/>
    </row>
    <row r="74" spans="1:1" x14ac:dyDescent="0.2">
      <c r="A74" s="7"/>
    </row>
    <row r="75" spans="1:1" x14ac:dyDescent="0.2">
      <c r="A75" s="7"/>
    </row>
    <row r="76" spans="1:1" x14ac:dyDescent="0.2">
      <c r="A76" s="7"/>
    </row>
    <row r="77" spans="1:1" x14ac:dyDescent="0.2">
      <c r="A77" s="7"/>
    </row>
    <row r="78" spans="1:1" x14ac:dyDescent="0.2">
      <c r="A78" s="7"/>
    </row>
    <row r="79" spans="1:1" x14ac:dyDescent="0.2">
      <c r="A79" s="7"/>
    </row>
    <row r="80" spans="1:1" x14ac:dyDescent="0.2">
      <c r="A80" s="7"/>
    </row>
    <row r="81" spans="1:1" x14ac:dyDescent="0.2">
      <c r="A81" s="7"/>
    </row>
    <row r="82" spans="1:1" x14ac:dyDescent="0.2">
      <c r="A82" s="7"/>
    </row>
    <row r="83" spans="1:1" x14ac:dyDescent="0.2">
      <c r="A83" s="7"/>
    </row>
    <row r="84" spans="1:1" x14ac:dyDescent="0.2">
      <c r="A84" s="7"/>
    </row>
    <row r="85" spans="1:1" x14ac:dyDescent="0.2">
      <c r="A85" s="7"/>
    </row>
    <row r="86" spans="1:1" x14ac:dyDescent="0.2">
      <c r="A86" s="7"/>
    </row>
    <row r="87" spans="1:1" x14ac:dyDescent="0.2">
      <c r="A87" s="7"/>
    </row>
    <row r="88" spans="1:1" x14ac:dyDescent="0.2">
      <c r="A88" s="7"/>
    </row>
    <row r="89" spans="1:1" x14ac:dyDescent="0.2">
      <c r="A89" s="7"/>
    </row>
    <row r="90" spans="1:1" x14ac:dyDescent="0.2">
      <c r="A90" s="7"/>
    </row>
    <row r="91" spans="1:1" x14ac:dyDescent="0.2">
      <c r="A91" s="7"/>
    </row>
    <row r="92" spans="1:1" x14ac:dyDescent="0.2">
      <c r="A92" s="7"/>
    </row>
    <row r="93" spans="1:1" x14ac:dyDescent="0.2">
      <c r="A93" s="7"/>
    </row>
    <row r="94" spans="1:1" x14ac:dyDescent="0.2">
      <c r="A94" s="7"/>
    </row>
    <row r="95" spans="1:1" x14ac:dyDescent="0.2">
      <c r="A95" s="7"/>
    </row>
    <row r="96" spans="1:1" x14ac:dyDescent="0.2">
      <c r="A96" s="7"/>
    </row>
    <row r="97" spans="1:1" x14ac:dyDescent="0.2">
      <c r="A97" s="7"/>
    </row>
    <row r="98" spans="1:1" x14ac:dyDescent="0.2">
      <c r="A98" s="7"/>
    </row>
    <row r="99" spans="1:1" x14ac:dyDescent="0.2">
      <c r="A99" s="7"/>
    </row>
    <row r="100" spans="1:1" x14ac:dyDescent="0.2">
      <c r="A100" s="7"/>
    </row>
    <row r="101" spans="1:1" x14ac:dyDescent="0.2">
      <c r="A101" s="7"/>
    </row>
    <row r="102" spans="1:1" x14ac:dyDescent="0.2">
      <c r="A102" s="7"/>
    </row>
    <row r="103" spans="1:1" x14ac:dyDescent="0.2">
      <c r="A103" s="7"/>
    </row>
    <row r="104" spans="1:1" x14ac:dyDescent="0.2">
      <c r="A104" s="7"/>
    </row>
    <row r="105" spans="1:1" x14ac:dyDescent="0.2">
      <c r="A105" s="7"/>
    </row>
    <row r="106" spans="1:1" x14ac:dyDescent="0.2">
      <c r="A106" s="7"/>
    </row>
    <row r="107" spans="1:1" x14ac:dyDescent="0.2">
      <c r="A107" s="7"/>
    </row>
    <row r="108" spans="1:1" x14ac:dyDescent="0.2">
      <c r="A108" s="7"/>
    </row>
    <row r="109" spans="1:1" x14ac:dyDescent="0.2">
      <c r="A109" s="7"/>
    </row>
    <row r="110" spans="1:1" x14ac:dyDescent="0.2">
      <c r="A110" s="7"/>
    </row>
    <row r="111" spans="1:1" x14ac:dyDescent="0.2">
      <c r="A111" s="7"/>
    </row>
    <row r="112" spans="1:1" x14ac:dyDescent="0.2">
      <c r="A112" s="7"/>
    </row>
    <row r="113" spans="1:1" x14ac:dyDescent="0.2">
      <c r="A113" s="7"/>
    </row>
    <row r="114" spans="1:1" x14ac:dyDescent="0.2">
      <c r="A114" s="7"/>
    </row>
    <row r="115" spans="1:1" x14ac:dyDescent="0.2">
      <c r="A115" s="7"/>
    </row>
    <row r="116" spans="1:1" x14ac:dyDescent="0.2">
      <c r="A116" s="7"/>
    </row>
    <row r="117" spans="1:1" x14ac:dyDescent="0.2">
      <c r="A117" s="7"/>
    </row>
    <row r="118" spans="1:1" x14ac:dyDescent="0.2">
      <c r="A118" s="7"/>
    </row>
    <row r="119" spans="1:1" x14ac:dyDescent="0.2">
      <c r="A119" s="7"/>
    </row>
    <row r="120" spans="1:1" x14ac:dyDescent="0.2">
      <c r="A120" s="7"/>
    </row>
    <row r="121" spans="1:1" x14ac:dyDescent="0.2">
      <c r="A121" s="7"/>
    </row>
    <row r="122" spans="1:1" x14ac:dyDescent="0.2">
      <c r="A122" s="7"/>
    </row>
    <row r="123" spans="1:1" x14ac:dyDescent="0.2">
      <c r="A123" s="7"/>
    </row>
    <row r="124" spans="1:1" x14ac:dyDescent="0.2">
      <c r="A124" s="7"/>
    </row>
    <row r="125" spans="1:1" x14ac:dyDescent="0.2">
      <c r="A125" s="7"/>
    </row>
    <row r="126" spans="1:1" x14ac:dyDescent="0.2">
      <c r="A126" s="7"/>
    </row>
    <row r="127" spans="1:1" x14ac:dyDescent="0.2">
      <c r="A127" s="7"/>
    </row>
    <row r="128" spans="1:1" x14ac:dyDescent="0.2">
      <c r="A128" s="7"/>
    </row>
    <row r="129" spans="1:1" x14ac:dyDescent="0.2">
      <c r="A129" s="7"/>
    </row>
    <row r="130" spans="1:1" x14ac:dyDescent="0.2">
      <c r="A130" s="7"/>
    </row>
    <row r="131" spans="1:1" x14ac:dyDescent="0.2">
      <c r="A131" s="7"/>
    </row>
    <row r="132" spans="1:1" x14ac:dyDescent="0.2">
      <c r="A132" s="7"/>
    </row>
    <row r="133" spans="1:1" x14ac:dyDescent="0.2">
      <c r="A133" s="7"/>
    </row>
    <row r="134" spans="1:1" x14ac:dyDescent="0.2">
      <c r="A134" s="7"/>
    </row>
    <row r="135" spans="1:1" x14ac:dyDescent="0.2">
      <c r="A135" s="7"/>
    </row>
    <row r="136" spans="1:1" x14ac:dyDescent="0.2">
      <c r="A136" s="7"/>
    </row>
    <row r="137" spans="1:1" x14ac:dyDescent="0.2">
      <c r="A137" s="7"/>
    </row>
    <row r="138" spans="1:1" x14ac:dyDescent="0.2">
      <c r="A138" s="7"/>
    </row>
    <row r="139" spans="1:1" x14ac:dyDescent="0.2">
      <c r="A139" s="7"/>
    </row>
    <row r="140" spans="1:1" x14ac:dyDescent="0.2">
      <c r="A140" s="7"/>
    </row>
    <row r="141" spans="1:1" x14ac:dyDescent="0.2">
      <c r="A141" s="7"/>
    </row>
    <row r="142" spans="1:1" x14ac:dyDescent="0.2">
      <c r="A142" s="7"/>
    </row>
    <row r="143" spans="1:1" x14ac:dyDescent="0.2">
      <c r="A143" s="7"/>
    </row>
    <row r="144" spans="1:1" x14ac:dyDescent="0.2">
      <c r="A144" s="7"/>
    </row>
    <row r="145" spans="1:1" x14ac:dyDescent="0.2">
      <c r="A145" s="7"/>
    </row>
    <row r="146" spans="1:1" x14ac:dyDescent="0.2">
      <c r="A146" s="7"/>
    </row>
    <row r="147" spans="1:1" x14ac:dyDescent="0.2">
      <c r="A147" s="7"/>
    </row>
    <row r="148" spans="1:1" x14ac:dyDescent="0.2">
      <c r="A148" s="7"/>
    </row>
    <row r="149" spans="1:1" x14ac:dyDescent="0.2">
      <c r="A149" s="7"/>
    </row>
    <row r="150" spans="1:1" x14ac:dyDescent="0.2">
      <c r="A150" s="7"/>
    </row>
    <row r="151" spans="1:1" x14ac:dyDescent="0.2">
      <c r="A151" s="7"/>
    </row>
    <row r="152" spans="1:1" x14ac:dyDescent="0.2">
      <c r="A152" s="7"/>
    </row>
    <row r="153" spans="1:1" x14ac:dyDescent="0.2">
      <c r="A153" s="7"/>
    </row>
    <row r="154" spans="1:1" x14ac:dyDescent="0.2">
      <c r="A154" s="7"/>
    </row>
    <row r="155" spans="1:1" x14ac:dyDescent="0.2">
      <c r="A155" s="7"/>
    </row>
    <row r="156" spans="1:1" x14ac:dyDescent="0.2">
      <c r="A156" s="7"/>
    </row>
    <row r="157" spans="1:1" x14ac:dyDescent="0.2">
      <c r="A157" s="7"/>
    </row>
    <row r="158" spans="1:1" x14ac:dyDescent="0.2">
      <c r="A158" s="7"/>
    </row>
    <row r="159" spans="1:1" x14ac:dyDescent="0.2">
      <c r="A159" s="7"/>
    </row>
    <row r="160" spans="1:1" x14ac:dyDescent="0.2">
      <c r="A160" s="7"/>
    </row>
    <row r="161" spans="1:1" x14ac:dyDescent="0.2">
      <c r="A161" s="7"/>
    </row>
    <row r="162" spans="1:1" x14ac:dyDescent="0.2">
      <c r="A162" s="7"/>
    </row>
    <row r="163" spans="1:1" x14ac:dyDescent="0.2">
      <c r="A163" s="7"/>
    </row>
    <row r="164" spans="1:1" x14ac:dyDescent="0.2">
      <c r="A164" s="7"/>
    </row>
    <row r="165" spans="1:1" x14ac:dyDescent="0.2">
      <c r="A165" s="7"/>
    </row>
    <row r="166" spans="1:1" x14ac:dyDescent="0.2">
      <c r="A166" s="7"/>
    </row>
    <row r="167" spans="1:1" x14ac:dyDescent="0.2">
      <c r="A167" s="7"/>
    </row>
    <row r="168" spans="1:1" x14ac:dyDescent="0.2">
      <c r="A168" s="7"/>
    </row>
    <row r="169" spans="1:1" x14ac:dyDescent="0.2">
      <c r="A169" s="7"/>
    </row>
    <row r="170" spans="1:1" x14ac:dyDescent="0.2">
      <c r="A170" s="7"/>
    </row>
    <row r="171" spans="1:1" x14ac:dyDescent="0.2">
      <c r="A171" s="7"/>
    </row>
    <row r="172" spans="1:1" x14ac:dyDescent="0.2">
      <c r="A172" s="7"/>
    </row>
    <row r="173" spans="1:1" x14ac:dyDescent="0.2">
      <c r="A173" s="7"/>
    </row>
    <row r="174" spans="1:1" x14ac:dyDescent="0.2">
      <c r="A174" s="7"/>
    </row>
    <row r="175" spans="1:1" x14ac:dyDescent="0.2">
      <c r="A175" s="7"/>
    </row>
    <row r="176" spans="1:1" x14ac:dyDescent="0.2">
      <c r="A176" s="7"/>
    </row>
    <row r="177" spans="1:1" x14ac:dyDescent="0.2">
      <c r="A177" s="7"/>
    </row>
    <row r="178" spans="1:1" x14ac:dyDescent="0.2">
      <c r="A178" s="7"/>
    </row>
    <row r="179" spans="1:1" x14ac:dyDescent="0.2">
      <c r="A179" s="7"/>
    </row>
    <row r="180" spans="1:1" x14ac:dyDescent="0.2">
      <c r="A180" s="7"/>
    </row>
    <row r="181" spans="1:1" x14ac:dyDescent="0.2">
      <c r="A181" s="7"/>
    </row>
    <row r="182" spans="1:1" x14ac:dyDescent="0.2">
      <c r="A182" s="7"/>
    </row>
    <row r="183" spans="1:1" x14ac:dyDescent="0.2">
      <c r="A183" s="7"/>
    </row>
    <row r="184" spans="1:1" x14ac:dyDescent="0.2">
      <c r="A184" s="7"/>
    </row>
    <row r="185" spans="1:1" x14ac:dyDescent="0.2">
      <c r="A185" s="7"/>
    </row>
    <row r="186" spans="1:1" x14ac:dyDescent="0.2">
      <c r="A186" s="7"/>
    </row>
    <row r="187" spans="1:1" x14ac:dyDescent="0.2">
      <c r="A187" s="7"/>
    </row>
    <row r="188" spans="1:1" x14ac:dyDescent="0.2">
      <c r="A188" s="7"/>
    </row>
    <row r="189" spans="1:1" x14ac:dyDescent="0.2">
      <c r="A189" s="7"/>
    </row>
    <row r="190" spans="1:1" x14ac:dyDescent="0.2">
      <c r="A190" s="7"/>
    </row>
    <row r="191" spans="1:1" x14ac:dyDescent="0.2">
      <c r="A191" s="7"/>
    </row>
    <row r="192" spans="1:1" x14ac:dyDescent="0.2">
      <c r="A192" s="7"/>
    </row>
    <row r="193" spans="1:1" x14ac:dyDescent="0.2">
      <c r="A193" s="7"/>
    </row>
    <row r="194" spans="1:1" x14ac:dyDescent="0.2">
      <c r="A194" s="7"/>
    </row>
    <row r="195" spans="1:1" x14ac:dyDescent="0.2">
      <c r="A195" s="7"/>
    </row>
    <row r="196" spans="1:1" x14ac:dyDescent="0.2">
      <c r="A196" s="7"/>
    </row>
    <row r="197" spans="1:1" x14ac:dyDescent="0.2">
      <c r="A197" s="7"/>
    </row>
    <row r="198" spans="1:1" x14ac:dyDescent="0.2">
      <c r="A198" s="7"/>
    </row>
    <row r="199" spans="1:1" x14ac:dyDescent="0.2">
      <c r="A199" s="7"/>
    </row>
    <row r="200" spans="1:1" x14ac:dyDescent="0.2">
      <c r="A200" s="7"/>
    </row>
    <row r="201" spans="1:1" x14ac:dyDescent="0.2">
      <c r="A201" s="7"/>
    </row>
    <row r="202" spans="1:1" x14ac:dyDescent="0.2">
      <c r="A202" s="7"/>
    </row>
    <row r="203" spans="1:1" x14ac:dyDescent="0.2">
      <c r="A203" s="7"/>
    </row>
    <row r="204" spans="1:1" x14ac:dyDescent="0.2">
      <c r="A204" s="7"/>
    </row>
    <row r="205" spans="1:1" x14ac:dyDescent="0.2">
      <c r="A205" s="7"/>
    </row>
    <row r="206" spans="1:1" x14ac:dyDescent="0.2">
      <c r="A206" s="7"/>
    </row>
    <row r="207" spans="1:1" x14ac:dyDescent="0.2">
      <c r="A207" s="7"/>
    </row>
    <row r="208" spans="1:1" x14ac:dyDescent="0.2">
      <c r="A208" s="7"/>
    </row>
    <row r="209" spans="1:1" x14ac:dyDescent="0.2">
      <c r="A209" s="7"/>
    </row>
    <row r="210" spans="1:1" x14ac:dyDescent="0.2">
      <c r="A210" s="7"/>
    </row>
    <row r="211" spans="1:1" x14ac:dyDescent="0.2">
      <c r="A211" s="7"/>
    </row>
    <row r="212" spans="1:1" x14ac:dyDescent="0.2">
      <c r="A212" s="7"/>
    </row>
    <row r="213" spans="1:1" x14ac:dyDescent="0.2">
      <c r="A213" s="7"/>
    </row>
    <row r="214" spans="1:1" x14ac:dyDescent="0.2">
      <c r="A214" s="7"/>
    </row>
    <row r="215" spans="1:1" x14ac:dyDescent="0.2">
      <c r="A215" s="7"/>
    </row>
    <row r="216" spans="1:1" x14ac:dyDescent="0.2">
      <c r="A216" s="7"/>
    </row>
    <row r="217" spans="1:1" x14ac:dyDescent="0.2">
      <c r="A217" s="7"/>
    </row>
    <row r="218" spans="1:1" x14ac:dyDescent="0.2">
      <c r="A218" s="7"/>
    </row>
    <row r="219" spans="1:1" x14ac:dyDescent="0.2">
      <c r="A219" s="7"/>
    </row>
    <row r="220" spans="1:1" x14ac:dyDescent="0.2">
      <c r="A220" s="7"/>
    </row>
    <row r="221" spans="1:1" x14ac:dyDescent="0.2">
      <c r="A221" s="7"/>
    </row>
    <row r="222" spans="1:1" x14ac:dyDescent="0.2">
      <c r="A222" s="7"/>
    </row>
    <row r="223" spans="1:1" x14ac:dyDescent="0.2">
      <c r="A223" s="7"/>
    </row>
    <row r="224" spans="1:1" x14ac:dyDescent="0.2">
      <c r="A224" s="7"/>
    </row>
    <row r="225" spans="1:1" x14ac:dyDescent="0.2">
      <c r="A225" s="7"/>
    </row>
    <row r="226" spans="1:1" x14ac:dyDescent="0.2">
      <c r="A226" s="7"/>
    </row>
    <row r="227" spans="1:1" x14ac:dyDescent="0.2">
      <c r="A227" s="7"/>
    </row>
    <row r="228" spans="1:1" x14ac:dyDescent="0.2">
      <c r="A228" s="7"/>
    </row>
    <row r="229" spans="1:1" x14ac:dyDescent="0.2">
      <c r="A229" s="7"/>
    </row>
    <row r="230" spans="1:1" x14ac:dyDescent="0.2">
      <c r="A230" s="7"/>
    </row>
    <row r="231" spans="1:1" x14ac:dyDescent="0.2">
      <c r="A231" s="7"/>
    </row>
    <row r="232" spans="1:1" x14ac:dyDescent="0.2">
      <c r="A232" s="7"/>
    </row>
    <row r="233" spans="1:1" x14ac:dyDescent="0.2">
      <c r="A233" s="7"/>
    </row>
    <row r="234" spans="1:1" x14ac:dyDescent="0.2">
      <c r="A234" s="7"/>
    </row>
    <row r="235" spans="1:1" x14ac:dyDescent="0.2">
      <c r="A235" s="7"/>
    </row>
    <row r="236" spans="1:1" x14ac:dyDescent="0.2">
      <c r="A236" s="7"/>
    </row>
    <row r="237" spans="1:1" x14ac:dyDescent="0.2">
      <c r="A237" s="7"/>
    </row>
    <row r="238" spans="1:1" x14ac:dyDescent="0.2">
      <c r="A238" s="7"/>
    </row>
    <row r="239" spans="1:1" x14ac:dyDescent="0.2">
      <c r="A239" s="7"/>
    </row>
    <row r="240" spans="1:1" x14ac:dyDescent="0.2">
      <c r="A240" s="7"/>
    </row>
    <row r="241" spans="1:1" x14ac:dyDescent="0.2">
      <c r="A241" s="7"/>
    </row>
    <row r="242" spans="1:1" x14ac:dyDescent="0.2">
      <c r="A242" s="7"/>
    </row>
    <row r="243" spans="1:1" x14ac:dyDescent="0.2">
      <c r="A243" s="7"/>
    </row>
    <row r="244" spans="1:1" x14ac:dyDescent="0.2">
      <c r="A244" s="7"/>
    </row>
    <row r="245" spans="1:1" x14ac:dyDescent="0.2">
      <c r="A245" s="7"/>
    </row>
    <row r="246" spans="1:1" x14ac:dyDescent="0.2">
      <c r="A246" s="7"/>
    </row>
    <row r="247" spans="1:1" x14ac:dyDescent="0.2">
      <c r="A247" s="7"/>
    </row>
    <row r="248" spans="1:1" x14ac:dyDescent="0.2">
      <c r="A248" s="7"/>
    </row>
    <row r="249" spans="1:1" x14ac:dyDescent="0.2">
      <c r="A249" s="7"/>
    </row>
    <row r="250" spans="1:1" x14ac:dyDescent="0.2">
      <c r="A250" s="7"/>
    </row>
    <row r="251" spans="1:1" x14ac:dyDescent="0.2">
      <c r="A251" s="7"/>
    </row>
    <row r="252" spans="1:1" x14ac:dyDescent="0.2">
      <c r="A252" s="7"/>
    </row>
    <row r="253" spans="1:1" x14ac:dyDescent="0.2">
      <c r="A253" s="7"/>
    </row>
    <row r="254" spans="1:1" x14ac:dyDescent="0.2">
      <c r="A254" s="7"/>
    </row>
    <row r="255" spans="1:1" x14ac:dyDescent="0.2">
      <c r="A255" s="7"/>
    </row>
    <row r="256" spans="1:1" x14ac:dyDescent="0.2">
      <c r="A256" s="7"/>
    </row>
    <row r="257" spans="1:1" x14ac:dyDescent="0.2">
      <c r="A257" s="7"/>
    </row>
    <row r="258" spans="1:1" x14ac:dyDescent="0.2">
      <c r="A258" s="7"/>
    </row>
    <row r="259" spans="1:1" x14ac:dyDescent="0.2">
      <c r="A259" s="7"/>
    </row>
    <row r="260" spans="1:1" x14ac:dyDescent="0.2">
      <c r="A260" s="7"/>
    </row>
    <row r="261" spans="1:1" x14ac:dyDescent="0.2">
      <c r="A261" s="7"/>
    </row>
    <row r="262" spans="1:1" x14ac:dyDescent="0.2">
      <c r="A262" s="7"/>
    </row>
    <row r="263" spans="1:1" x14ac:dyDescent="0.2">
      <c r="A263" s="7"/>
    </row>
    <row r="264" spans="1:1" x14ac:dyDescent="0.2">
      <c r="A264" s="7"/>
    </row>
    <row r="265" spans="1:1" x14ac:dyDescent="0.2">
      <c r="A265" s="7"/>
    </row>
    <row r="266" spans="1:1" x14ac:dyDescent="0.2">
      <c r="A266" s="7"/>
    </row>
    <row r="267" spans="1:1" x14ac:dyDescent="0.2">
      <c r="A267" s="7"/>
    </row>
    <row r="268" spans="1:1" x14ac:dyDescent="0.2">
      <c r="A268" s="7"/>
    </row>
    <row r="269" spans="1:1" x14ac:dyDescent="0.2">
      <c r="A269" s="7"/>
    </row>
    <row r="270" spans="1:1" x14ac:dyDescent="0.2">
      <c r="A270" s="7"/>
    </row>
    <row r="271" spans="1:1" x14ac:dyDescent="0.2">
      <c r="A271" s="7"/>
    </row>
    <row r="272" spans="1:1" x14ac:dyDescent="0.2">
      <c r="A272" s="7"/>
    </row>
    <row r="273" spans="1:1" x14ac:dyDescent="0.2">
      <c r="A273" s="7"/>
    </row>
    <row r="274" spans="1:1" x14ac:dyDescent="0.2">
      <c r="A274" s="7"/>
    </row>
    <row r="275" spans="1:1" x14ac:dyDescent="0.2">
      <c r="A275" s="7"/>
    </row>
    <row r="276" spans="1:1" x14ac:dyDescent="0.2">
      <c r="A276" s="7"/>
    </row>
    <row r="277" spans="1:1" x14ac:dyDescent="0.2">
      <c r="A277" s="7"/>
    </row>
    <row r="278" spans="1:1" x14ac:dyDescent="0.2">
      <c r="A278" s="7"/>
    </row>
    <row r="279" spans="1:1" x14ac:dyDescent="0.2">
      <c r="A279" s="7"/>
    </row>
    <row r="280" spans="1:1" x14ac:dyDescent="0.2">
      <c r="A280" s="7"/>
    </row>
    <row r="281" spans="1:1" x14ac:dyDescent="0.2">
      <c r="A281" s="7"/>
    </row>
    <row r="282" spans="1:1" x14ac:dyDescent="0.2">
      <c r="A282" s="7"/>
    </row>
    <row r="283" spans="1:1" x14ac:dyDescent="0.2">
      <c r="A283" s="7"/>
    </row>
    <row r="284" spans="1:1" x14ac:dyDescent="0.2">
      <c r="A284" s="7"/>
    </row>
    <row r="285" spans="1:1" x14ac:dyDescent="0.2">
      <c r="A285" s="7"/>
    </row>
    <row r="286" spans="1:1" x14ac:dyDescent="0.2">
      <c r="A286" s="7"/>
    </row>
    <row r="287" spans="1:1" x14ac:dyDescent="0.2">
      <c r="A287" s="7"/>
    </row>
    <row r="288" spans="1:1" x14ac:dyDescent="0.2">
      <c r="A288" s="7"/>
    </row>
    <row r="289" spans="1:1" x14ac:dyDescent="0.2">
      <c r="A289" s="7"/>
    </row>
    <row r="290" spans="1:1" x14ac:dyDescent="0.2">
      <c r="A290" s="7"/>
    </row>
    <row r="291" spans="1:1" x14ac:dyDescent="0.2">
      <c r="A291" s="7"/>
    </row>
    <row r="292" spans="1:1" x14ac:dyDescent="0.2">
      <c r="A292" s="7"/>
    </row>
    <row r="293" spans="1:1" x14ac:dyDescent="0.2">
      <c r="A293" s="7"/>
    </row>
    <row r="294" spans="1:1" x14ac:dyDescent="0.2">
      <c r="A294" s="7"/>
    </row>
    <row r="295" spans="1:1" x14ac:dyDescent="0.2">
      <c r="A295" s="7"/>
    </row>
    <row r="296" spans="1:1" x14ac:dyDescent="0.2">
      <c r="A296" s="7"/>
    </row>
    <row r="297" spans="1:1" x14ac:dyDescent="0.2">
      <c r="A297" s="7"/>
    </row>
    <row r="298" spans="1:1" x14ac:dyDescent="0.2">
      <c r="A298" s="7"/>
    </row>
    <row r="299" spans="1:1" x14ac:dyDescent="0.2">
      <c r="A299" s="7"/>
    </row>
    <row r="300" spans="1:1" x14ac:dyDescent="0.2">
      <c r="A300" s="7"/>
    </row>
    <row r="301" spans="1:1" x14ac:dyDescent="0.2">
      <c r="A301" s="7"/>
    </row>
    <row r="302" spans="1:1" x14ac:dyDescent="0.2">
      <c r="A302" s="7"/>
    </row>
    <row r="303" spans="1:1" x14ac:dyDescent="0.2">
      <c r="A303" s="7"/>
    </row>
    <row r="304" spans="1:1" x14ac:dyDescent="0.2">
      <c r="A304" s="7"/>
    </row>
    <row r="305" spans="1:1" x14ac:dyDescent="0.2">
      <c r="A305" s="7"/>
    </row>
    <row r="306" spans="1:1" x14ac:dyDescent="0.2">
      <c r="A306" s="7"/>
    </row>
    <row r="307" spans="1:1" x14ac:dyDescent="0.2">
      <c r="A307" s="7"/>
    </row>
    <row r="308" spans="1:1" x14ac:dyDescent="0.2">
      <c r="A308" s="7"/>
    </row>
    <row r="309" spans="1:1" x14ac:dyDescent="0.2">
      <c r="A309" s="7"/>
    </row>
    <row r="310" spans="1:1" x14ac:dyDescent="0.2">
      <c r="A310" s="7"/>
    </row>
    <row r="311" spans="1:1" x14ac:dyDescent="0.2">
      <c r="A311" s="7"/>
    </row>
    <row r="312" spans="1:1" x14ac:dyDescent="0.2">
      <c r="A312" s="7"/>
    </row>
    <row r="313" spans="1:1" x14ac:dyDescent="0.2">
      <c r="A313" s="7"/>
    </row>
    <row r="314" spans="1:1" x14ac:dyDescent="0.2">
      <c r="A314" s="7"/>
    </row>
    <row r="315" spans="1:1" x14ac:dyDescent="0.2">
      <c r="A315" s="7"/>
    </row>
    <row r="316" spans="1:1" x14ac:dyDescent="0.2">
      <c r="A316" s="7"/>
    </row>
    <row r="317" spans="1:1" x14ac:dyDescent="0.2">
      <c r="A317" s="7"/>
    </row>
    <row r="318" spans="1:1" x14ac:dyDescent="0.2">
      <c r="A318" s="7"/>
    </row>
    <row r="319" spans="1:1" x14ac:dyDescent="0.2">
      <c r="A319" s="7"/>
    </row>
    <row r="320" spans="1:1" x14ac:dyDescent="0.2">
      <c r="A320" s="7"/>
    </row>
    <row r="321" spans="1:1" x14ac:dyDescent="0.2">
      <c r="A321" s="7"/>
    </row>
    <row r="322" spans="1:1" x14ac:dyDescent="0.2">
      <c r="A322" s="7"/>
    </row>
    <row r="323" spans="1:1" x14ac:dyDescent="0.2">
      <c r="A323" s="7"/>
    </row>
    <row r="324" spans="1:1" x14ac:dyDescent="0.2">
      <c r="A324" s="7"/>
    </row>
    <row r="325" spans="1:1" x14ac:dyDescent="0.2">
      <c r="A325" s="7"/>
    </row>
    <row r="326" spans="1:1" x14ac:dyDescent="0.2">
      <c r="A326" s="7"/>
    </row>
    <row r="327" spans="1:1" x14ac:dyDescent="0.2">
      <c r="A327" s="7"/>
    </row>
    <row r="328" spans="1:1" x14ac:dyDescent="0.2">
      <c r="A328" s="7"/>
    </row>
    <row r="329" spans="1:1" x14ac:dyDescent="0.2">
      <c r="A329" s="7"/>
    </row>
    <row r="330" spans="1:1" x14ac:dyDescent="0.2">
      <c r="A330" s="7"/>
    </row>
    <row r="331" spans="1:1" x14ac:dyDescent="0.2">
      <c r="A331" s="7"/>
    </row>
    <row r="332" spans="1:1" x14ac:dyDescent="0.2">
      <c r="A332" s="7"/>
    </row>
    <row r="333" spans="1:1" x14ac:dyDescent="0.2">
      <c r="A333" s="7"/>
    </row>
    <row r="334" spans="1:1" x14ac:dyDescent="0.2">
      <c r="A334" s="7"/>
    </row>
    <row r="335" spans="1:1" x14ac:dyDescent="0.2">
      <c r="A335" s="7"/>
    </row>
    <row r="336" spans="1:1" x14ac:dyDescent="0.2">
      <c r="A336" s="7"/>
    </row>
    <row r="337" spans="1:1" x14ac:dyDescent="0.2">
      <c r="A337" s="7"/>
    </row>
    <row r="338" spans="1:1" x14ac:dyDescent="0.2">
      <c r="A338" s="7"/>
    </row>
    <row r="339" spans="1:1" x14ac:dyDescent="0.2">
      <c r="A339" s="7"/>
    </row>
    <row r="340" spans="1:1" x14ac:dyDescent="0.2">
      <c r="A340" s="7"/>
    </row>
    <row r="341" spans="1:1" x14ac:dyDescent="0.2">
      <c r="A341" s="7"/>
    </row>
    <row r="342" spans="1:1" x14ac:dyDescent="0.2">
      <c r="A342" s="7"/>
    </row>
    <row r="343" spans="1:1" x14ac:dyDescent="0.2">
      <c r="A343" s="7"/>
    </row>
    <row r="344" spans="1:1" x14ac:dyDescent="0.2">
      <c r="A344" s="7"/>
    </row>
    <row r="345" spans="1:1" x14ac:dyDescent="0.2">
      <c r="A345" s="7"/>
    </row>
    <row r="346" spans="1:1" x14ac:dyDescent="0.2">
      <c r="A346" s="7"/>
    </row>
    <row r="347" spans="1:1" x14ac:dyDescent="0.2">
      <c r="A347" s="7"/>
    </row>
    <row r="348" spans="1:1" x14ac:dyDescent="0.2">
      <c r="A348" s="7"/>
    </row>
    <row r="349" spans="1:1" x14ac:dyDescent="0.2">
      <c r="A349" s="7"/>
    </row>
    <row r="350" spans="1:1" x14ac:dyDescent="0.2">
      <c r="A350" s="7"/>
    </row>
    <row r="351" spans="1:1" x14ac:dyDescent="0.2">
      <c r="A351" s="7"/>
    </row>
    <row r="352" spans="1:1" x14ac:dyDescent="0.2">
      <c r="A352" s="7"/>
    </row>
    <row r="353" spans="1:1" x14ac:dyDescent="0.2">
      <c r="A353" s="7"/>
    </row>
    <row r="354" spans="1:1" x14ac:dyDescent="0.2">
      <c r="A354" s="7"/>
    </row>
    <row r="355" spans="1:1" x14ac:dyDescent="0.2">
      <c r="A355" s="7"/>
    </row>
    <row r="356" spans="1:1" x14ac:dyDescent="0.2">
      <c r="A356" s="7"/>
    </row>
    <row r="357" spans="1:1" x14ac:dyDescent="0.2">
      <c r="A357" s="7"/>
    </row>
    <row r="358" spans="1:1" x14ac:dyDescent="0.2">
      <c r="A358" s="7"/>
    </row>
    <row r="359" spans="1:1" x14ac:dyDescent="0.2">
      <c r="A359" s="7"/>
    </row>
    <row r="360" spans="1:1" x14ac:dyDescent="0.2">
      <c r="A360" s="7"/>
    </row>
    <row r="361" spans="1:1" x14ac:dyDescent="0.2">
      <c r="A361" s="7"/>
    </row>
    <row r="362" spans="1:1" x14ac:dyDescent="0.2">
      <c r="A362" s="7"/>
    </row>
    <row r="363" spans="1:1" x14ac:dyDescent="0.2">
      <c r="A363" s="7"/>
    </row>
    <row r="364" spans="1:1" x14ac:dyDescent="0.2">
      <c r="A364" s="7"/>
    </row>
    <row r="365" spans="1:1" x14ac:dyDescent="0.2">
      <c r="A365" s="7"/>
    </row>
    <row r="366" spans="1:1" x14ac:dyDescent="0.2">
      <c r="A366" s="7"/>
    </row>
    <row r="367" spans="1:1" x14ac:dyDescent="0.2">
      <c r="A367" s="7"/>
    </row>
    <row r="368" spans="1:1" x14ac:dyDescent="0.2">
      <c r="A368" s="7"/>
    </row>
    <row r="369" spans="1:1" x14ac:dyDescent="0.2">
      <c r="A369" s="7"/>
    </row>
    <row r="370" spans="1:1" x14ac:dyDescent="0.2">
      <c r="A370" s="7"/>
    </row>
    <row r="371" spans="1:1" x14ac:dyDescent="0.2">
      <c r="A371" s="7"/>
    </row>
    <row r="372" spans="1:1" x14ac:dyDescent="0.2">
      <c r="A372" s="7"/>
    </row>
    <row r="373" spans="1:1" x14ac:dyDescent="0.2">
      <c r="A373" s="7"/>
    </row>
    <row r="374" spans="1:1" x14ac:dyDescent="0.2">
      <c r="A374" s="7"/>
    </row>
    <row r="375" spans="1:1" x14ac:dyDescent="0.2">
      <c r="A375" s="7"/>
    </row>
    <row r="376" spans="1:1" x14ac:dyDescent="0.2">
      <c r="A376" s="7"/>
    </row>
    <row r="377" spans="1:1" x14ac:dyDescent="0.2">
      <c r="A377" s="7"/>
    </row>
    <row r="378" spans="1:1" x14ac:dyDescent="0.2">
      <c r="A378" s="7"/>
    </row>
    <row r="379" spans="1:1" x14ac:dyDescent="0.2">
      <c r="A379" s="7"/>
    </row>
    <row r="380" spans="1:1" x14ac:dyDescent="0.2">
      <c r="A380" s="7"/>
    </row>
    <row r="381" spans="1:1" x14ac:dyDescent="0.2">
      <c r="A381" s="7"/>
    </row>
    <row r="382" spans="1:1" x14ac:dyDescent="0.2">
      <c r="A382" s="7"/>
    </row>
    <row r="383" spans="1:1" x14ac:dyDescent="0.2">
      <c r="A383" s="7"/>
    </row>
    <row r="384" spans="1:1" x14ac:dyDescent="0.2">
      <c r="A384" s="7"/>
    </row>
    <row r="385" spans="1:1" x14ac:dyDescent="0.2">
      <c r="A385" s="7"/>
    </row>
    <row r="386" spans="1:1" x14ac:dyDescent="0.2">
      <c r="A386" s="7"/>
    </row>
    <row r="387" spans="1:1" x14ac:dyDescent="0.2">
      <c r="A387" s="7"/>
    </row>
    <row r="388" spans="1:1" x14ac:dyDescent="0.2">
      <c r="A388" s="7"/>
    </row>
    <row r="389" spans="1:1" x14ac:dyDescent="0.2">
      <c r="A389" s="7"/>
    </row>
    <row r="390" spans="1:1" x14ac:dyDescent="0.2">
      <c r="A390" s="7"/>
    </row>
    <row r="391" spans="1:1" x14ac:dyDescent="0.2">
      <c r="A391" s="7"/>
    </row>
    <row r="392" spans="1:1" x14ac:dyDescent="0.2">
      <c r="A392" s="7"/>
    </row>
    <row r="393" spans="1:1" x14ac:dyDescent="0.2">
      <c r="A393" s="7"/>
    </row>
    <row r="394" spans="1:1" x14ac:dyDescent="0.2">
      <c r="A394" s="7"/>
    </row>
    <row r="395" spans="1:1" x14ac:dyDescent="0.2">
      <c r="A395" s="7"/>
    </row>
    <row r="396" spans="1:1" x14ac:dyDescent="0.2">
      <c r="A396" s="7"/>
    </row>
    <row r="397" spans="1:1" x14ac:dyDescent="0.2">
      <c r="A397" s="7"/>
    </row>
    <row r="398" spans="1:1" x14ac:dyDescent="0.2">
      <c r="A398" s="7"/>
    </row>
    <row r="399" spans="1:1" x14ac:dyDescent="0.2">
      <c r="A399" s="7"/>
    </row>
    <row r="400" spans="1:1" x14ac:dyDescent="0.2">
      <c r="A400" s="7"/>
    </row>
    <row r="401" spans="1:1" x14ac:dyDescent="0.2">
      <c r="A401" s="7"/>
    </row>
    <row r="402" spans="1:1" x14ac:dyDescent="0.2">
      <c r="A402" s="7"/>
    </row>
    <row r="403" spans="1:1" x14ac:dyDescent="0.2">
      <c r="A403" s="7"/>
    </row>
    <row r="404" spans="1:1" x14ac:dyDescent="0.2">
      <c r="A404" s="7"/>
    </row>
    <row r="405" spans="1:1" x14ac:dyDescent="0.2">
      <c r="A405" s="7"/>
    </row>
    <row r="406" spans="1:1" x14ac:dyDescent="0.2">
      <c r="A406" s="7"/>
    </row>
    <row r="407" spans="1:1" x14ac:dyDescent="0.2">
      <c r="A407" s="7"/>
    </row>
    <row r="408" spans="1:1" x14ac:dyDescent="0.2">
      <c r="A408" s="7"/>
    </row>
    <row r="409" spans="1:1" x14ac:dyDescent="0.2">
      <c r="A409" s="7"/>
    </row>
    <row r="410" spans="1:1" x14ac:dyDescent="0.2">
      <c r="A410" s="7"/>
    </row>
    <row r="411" spans="1:1" x14ac:dyDescent="0.2">
      <c r="A411" s="7"/>
    </row>
    <row r="412" spans="1:1" x14ac:dyDescent="0.2">
      <c r="A412" s="7"/>
    </row>
    <row r="413" spans="1:1" x14ac:dyDescent="0.2">
      <c r="A413" s="7"/>
    </row>
    <row r="414" spans="1:1" x14ac:dyDescent="0.2">
      <c r="A414" s="7"/>
    </row>
    <row r="415" spans="1:1" x14ac:dyDescent="0.2">
      <c r="A415" s="7"/>
    </row>
    <row r="416" spans="1:1" x14ac:dyDescent="0.2">
      <c r="A416" s="7"/>
    </row>
    <row r="417" spans="1:1" x14ac:dyDescent="0.2">
      <c r="A417" s="7"/>
    </row>
    <row r="418" spans="1:1" x14ac:dyDescent="0.2">
      <c r="A418" s="7"/>
    </row>
    <row r="419" spans="1:1" x14ac:dyDescent="0.2">
      <c r="A419" s="7"/>
    </row>
    <row r="420" spans="1:1" x14ac:dyDescent="0.2">
      <c r="A420" s="7"/>
    </row>
    <row r="421" spans="1:1" x14ac:dyDescent="0.2">
      <c r="A421" s="7"/>
    </row>
    <row r="422" spans="1:1" x14ac:dyDescent="0.2">
      <c r="A422" s="7"/>
    </row>
    <row r="423" spans="1:1" x14ac:dyDescent="0.2">
      <c r="A423" s="7"/>
    </row>
    <row r="424" spans="1:1" x14ac:dyDescent="0.2">
      <c r="A424" s="7"/>
    </row>
    <row r="425" spans="1:1" x14ac:dyDescent="0.2">
      <c r="A425" s="7"/>
    </row>
    <row r="426" spans="1:1" x14ac:dyDescent="0.2">
      <c r="A426" s="7"/>
    </row>
    <row r="427" spans="1:1" x14ac:dyDescent="0.2">
      <c r="A427" s="7"/>
    </row>
    <row r="428" spans="1:1" x14ac:dyDescent="0.2">
      <c r="A428" s="7"/>
    </row>
    <row r="429" spans="1:1" x14ac:dyDescent="0.2">
      <c r="A429" s="7"/>
    </row>
    <row r="430" spans="1:1" x14ac:dyDescent="0.2">
      <c r="A430" s="7"/>
    </row>
    <row r="431" spans="1:1" x14ac:dyDescent="0.2">
      <c r="A431" s="7"/>
    </row>
    <row r="432" spans="1:1" x14ac:dyDescent="0.2">
      <c r="A432" s="7"/>
    </row>
    <row r="433" spans="1:1" x14ac:dyDescent="0.2">
      <c r="A433" s="7"/>
    </row>
    <row r="434" spans="1:1" x14ac:dyDescent="0.2">
      <c r="A434" s="7"/>
    </row>
    <row r="435" spans="1:1" x14ac:dyDescent="0.2">
      <c r="A435" s="7"/>
    </row>
    <row r="436" spans="1:1" x14ac:dyDescent="0.2">
      <c r="A436" s="7"/>
    </row>
    <row r="437" spans="1:1" x14ac:dyDescent="0.2">
      <c r="A437" s="7"/>
    </row>
    <row r="438" spans="1:1" x14ac:dyDescent="0.2">
      <c r="A438" s="7"/>
    </row>
    <row r="439" spans="1:1" x14ac:dyDescent="0.2">
      <c r="A439" s="7"/>
    </row>
    <row r="440" spans="1:1" x14ac:dyDescent="0.2">
      <c r="A440" s="7"/>
    </row>
    <row r="441" spans="1:1" x14ac:dyDescent="0.2">
      <c r="A441" s="7"/>
    </row>
    <row r="442" spans="1:1" x14ac:dyDescent="0.2">
      <c r="A442" s="7"/>
    </row>
    <row r="443" spans="1:1" x14ac:dyDescent="0.2">
      <c r="A443" s="7"/>
    </row>
    <row r="444" spans="1:1" x14ac:dyDescent="0.2">
      <c r="A444" s="7"/>
    </row>
    <row r="445" spans="1:1" x14ac:dyDescent="0.2">
      <c r="A445" s="7"/>
    </row>
    <row r="446" spans="1:1" x14ac:dyDescent="0.2">
      <c r="A446" s="7"/>
    </row>
    <row r="447" spans="1:1" x14ac:dyDescent="0.2">
      <c r="A447" s="7"/>
    </row>
    <row r="448" spans="1:1" x14ac:dyDescent="0.2">
      <c r="A448" s="7"/>
    </row>
    <row r="449" spans="1:1" x14ac:dyDescent="0.2">
      <c r="A449" s="7"/>
    </row>
    <row r="450" spans="1:1" x14ac:dyDescent="0.2">
      <c r="A450" s="7"/>
    </row>
    <row r="451" spans="1:1" x14ac:dyDescent="0.2">
      <c r="A451" s="7"/>
    </row>
    <row r="452" spans="1:1" x14ac:dyDescent="0.2">
      <c r="A452" s="7"/>
    </row>
    <row r="453" spans="1:1" x14ac:dyDescent="0.2">
      <c r="A453" s="7"/>
    </row>
    <row r="454" spans="1:1" x14ac:dyDescent="0.2">
      <c r="A454" s="7"/>
    </row>
    <row r="455" spans="1:1" x14ac:dyDescent="0.2">
      <c r="A455" s="7"/>
    </row>
    <row r="456" spans="1:1" x14ac:dyDescent="0.2">
      <c r="A456" s="7"/>
    </row>
    <row r="457" spans="1:1" x14ac:dyDescent="0.2">
      <c r="A457" s="7"/>
    </row>
    <row r="458" spans="1:1" x14ac:dyDescent="0.2">
      <c r="A458" s="7"/>
    </row>
    <row r="459" spans="1:1" x14ac:dyDescent="0.2">
      <c r="A459" s="7"/>
    </row>
    <row r="460" spans="1:1" x14ac:dyDescent="0.2">
      <c r="A460" s="7"/>
    </row>
    <row r="461" spans="1:1" x14ac:dyDescent="0.2">
      <c r="A461" s="7"/>
    </row>
    <row r="462" spans="1:1" x14ac:dyDescent="0.2">
      <c r="A462" s="7"/>
    </row>
    <row r="463" spans="1:1" x14ac:dyDescent="0.2">
      <c r="A463" s="7"/>
    </row>
    <row r="464" spans="1:1" x14ac:dyDescent="0.2">
      <c r="A464" s="7"/>
    </row>
    <row r="465" spans="1:1" x14ac:dyDescent="0.2">
      <c r="A465" s="7"/>
    </row>
    <row r="466" spans="1:1" x14ac:dyDescent="0.2">
      <c r="A466" s="7"/>
    </row>
    <row r="467" spans="1:1" x14ac:dyDescent="0.2">
      <c r="A467" s="7"/>
    </row>
    <row r="468" spans="1:1" x14ac:dyDescent="0.2">
      <c r="A468" s="7"/>
    </row>
    <row r="469" spans="1:1" x14ac:dyDescent="0.2">
      <c r="A469" s="7"/>
    </row>
    <row r="470" spans="1:1" x14ac:dyDescent="0.2">
      <c r="A470" s="7"/>
    </row>
    <row r="471" spans="1:1" x14ac:dyDescent="0.2">
      <c r="A471" s="7"/>
    </row>
    <row r="472" spans="1:1" x14ac:dyDescent="0.2">
      <c r="A472" s="7"/>
    </row>
    <row r="473" spans="1:1" x14ac:dyDescent="0.2">
      <c r="A473" s="7"/>
    </row>
    <row r="474" spans="1:1" x14ac:dyDescent="0.2">
      <c r="A474" s="7"/>
    </row>
    <row r="475" spans="1:1" x14ac:dyDescent="0.2">
      <c r="A475" s="7"/>
    </row>
    <row r="476" spans="1:1" x14ac:dyDescent="0.2">
      <c r="A476" s="7"/>
    </row>
    <row r="477" spans="1:1" x14ac:dyDescent="0.2">
      <c r="A477" s="7"/>
    </row>
    <row r="478" spans="1:1" x14ac:dyDescent="0.2">
      <c r="A478" s="7"/>
    </row>
    <row r="479" spans="1:1" x14ac:dyDescent="0.2">
      <c r="A479" s="7"/>
    </row>
    <row r="480" spans="1:1" x14ac:dyDescent="0.2">
      <c r="A480" s="7"/>
    </row>
    <row r="481" spans="1:1" x14ac:dyDescent="0.2">
      <c r="A481" s="7"/>
    </row>
    <row r="482" spans="1:1" x14ac:dyDescent="0.2">
      <c r="A482" s="7"/>
    </row>
    <row r="483" spans="1:1" x14ac:dyDescent="0.2">
      <c r="A483" s="7"/>
    </row>
    <row r="484" spans="1:1" x14ac:dyDescent="0.2">
      <c r="A484" s="7"/>
    </row>
    <row r="485" spans="1:1" x14ac:dyDescent="0.2">
      <c r="A485" s="7"/>
    </row>
    <row r="486" spans="1:1" x14ac:dyDescent="0.2">
      <c r="A486" s="7"/>
    </row>
    <row r="487" spans="1:1" x14ac:dyDescent="0.2">
      <c r="A487" s="7"/>
    </row>
    <row r="488" spans="1:1" x14ac:dyDescent="0.2">
      <c r="A488" s="7"/>
    </row>
    <row r="489" spans="1:1" x14ac:dyDescent="0.2">
      <c r="A489" s="7"/>
    </row>
    <row r="490" spans="1:1" x14ac:dyDescent="0.2">
      <c r="A490" s="7"/>
    </row>
    <row r="491" spans="1:1" x14ac:dyDescent="0.2">
      <c r="A491" s="7"/>
    </row>
    <row r="492" spans="1:1" x14ac:dyDescent="0.2">
      <c r="A492" s="7"/>
    </row>
    <row r="493" spans="1:1" x14ac:dyDescent="0.2">
      <c r="A493" s="7"/>
    </row>
    <row r="494" spans="1:1" x14ac:dyDescent="0.2">
      <c r="A494" s="7"/>
    </row>
    <row r="495" spans="1:1" x14ac:dyDescent="0.2">
      <c r="A495" s="7"/>
    </row>
    <row r="496" spans="1:1" x14ac:dyDescent="0.2">
      <c r="A496" s="7"/>
    </row>
    <row r="497" spans="1:1" x14ac:dyDescent="0.2">
      <c r="A497" s="7"/>
    </row>
    <row r="498" spans="1:1" x14ac:dyDescent="0.2">
      <c r="A498" s="7"/>
    </row>
    <row r="499" spans="1:1" x14ac:dyDescent="0.2">
      <c r="A499" s="7"/>
    </row>
    <row r="500" spans="1:1" x14ac:dyDescent="0.2">
      <c r="A500" s="7"/>
    </row>
    <row r="501" spans="1:1" x14ac:dyDescent="0.2">
      <c r="A501"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869CD-26E8-4142-BC1B-653EAE50B1FD}">
  <dimension ref="A1:Z501"/>
  <sheetViews>
    <sheetView workbookViewId="0">
      <selection activeCell="G3" sqref="G3"/>
    </sheetView>
  </sheetViews>
  <sheetFormatPr baseColWidth="10" defaultColWidth="11.1640625" defaultRowHeight="16" x14ac:dyDescent="0.2"/>
  <cols>
    <col min="1" max="1" width="12.6640625" bestFit="1" customWidth="1"/>
    <col min="2" max="2" width="11.1640625" customWidth="1"/>
    <col min="3" max="3" width="11.1640625" bestFit="1" customWidth="1"/>
    <col min="4" max="4" width="14.1640625" bestFit="1" customWidth="1"/>
    <col min="5" max="5" width="13.1640625" bestFit="1" customWidth="1"/>
    <col min="6" max="6" width="12.33203125" bestFit="1" customWidth="1"/>
    <col min="7" max="7" width="7.83203125" bestFit="1" customWidth="1"/>
  </cols>
  <sheetData>
    <row r="1" spans="1:26" x14ac:dyDescent="0.2">
      <c r="A1" s="6" t="s">
        <v>16</v>
      </c>
      <c r="B1" t="s">
        <v>111</v>
      </c>
      <c r="C1" t="s">
        <v>107</v>
      </c>
      <c r="D1" t="s">
        <v>108</v>
      </c>
      <c r="E1" t="s">
        <v>109</v>
      </c>
      <c r="F1" t="s">
        <v>110</v>
      </c>
      <c r="G1" t="s">
        <v>114</v>
      </c>
    </row>
    <row r="2" spans="1:26" x14ac:dyDescent="0.2">
      <c r="A2" s="7" t="s">
        <v>17</v>
      </c>
    </row>
    <row r="3" spans="1:26" x14ac:dyDescent="0.2">
      <c r="A3" s="7" t="s">
        <v>18</v>
      </c>
      <c r="B3" s="23">
        <v>0.12</v>
      </c>
      <c r="C3" s="24">
        <f>341*(1+B3)^5</f>
        <v>600.9585139712002</v>
      </c>
      <c r="D3">
        <v>2.9</v>
      </c>
      <c r="E3" s="24">
        <f>D3*C3</f>
        <v>1742.7796905164805</v>
      </c>
      <c r="F3" s="9">
        <v>0.1146414311761812</v>
      </c>
      <c r="G3" s="13">
        <v>6.9000000000000006E-2</v>
      </c>
    </row>
    <row r="4" spans="1:26" x14ac:dyDescent="0.2">
      <c r="A4" s="7" t="s">
        <v>19</v>
      </c>
    </row>
    <row r="5" spans="1:26" x14ac:dyDescent="0.2">
      <c r="A5" s="7" t="s">
        <v>20</v>
      </c>
      <c r="V5" s="23"/>
      <c r="W5" s="13"/>
      <c r="X5" s="23"/>
      <c r="Y5" s="13"/>
      <c r="Z5" s="13"/>
    </row>
    <row r="6" spans="1:26" x14ac:dyDescent="0.2">
      <c r="A6" s="7" t="s">
        <v>21</v>
      </c>
    </row>
    <row r="7" spans="1:26" x14ac:dyDescent="0.2">
      <c r="A7" s="7" t="s">
        <v>22</v>
      </c>
    </row>
    <row r="8" spans="1:26" x14ac:dyDescent="0.2">
      <c r="A8" s="7" t="s">
        <v>23</v>
      </c>
    </row>
    <row r="9" spans="1:26" x14ac:dyDescent="0.2">
      <c r="A9" s="7" t="s">
        <v>24</v>
      </c>
    </row>
    <row r="10" spans="1:26" x14ac:dyDescent="0.2">
      <c r="A10" s="7" t="s">
        <v>25</v>
      </c>
    </row>
    <row r="11" spans="1:26" x14ac:dyDescent="0.2">
      <c r="A11" s="7" t="s">
        <v>26</v>
      </c>
    </row>
    <row r="12" spans="1:26" x14ac:dyDescent="0.2">
      <c r="A12" s="7" t="s">
        <v>27</v>
      </c>
    </row>
    <row r="13" spans="1:26" x14ac:dyDescent="0.2">
      <c r="A13" s="7" t="s">
        <v>28</v>
      </c>
    </row>
    <row r="14" spans="1:26" x14ac:dyDescent="0.2">
      <c r="A14" s="7" t="s">
        <v>29</v>
      </c>
    </row>
    <row r="15" spans="1:26" x14ac:dyDescent="0.2">
      <c r="A15" s="7" t="s">
        <v>30</v>
      </c>
    </row>
    <row r="16" spans="1:26" x14ac:dyDescent="0.2">
      <c r="A16" s="7" t="s">
        <v>31</v>
      </c>
    </row>
    <row r="17" spans="1:1" x14ac:dyDescent="0.2">
      <c r="A17" s="7" t="s">
        <v>32</v>
      </c>
    </row>
    <row r="18" spans="1:1" x14ac:dyDescent="0.2">
      <c r="A18" s="7" t="s">
        <v>33</v>
      </c>
    </row>
    <row r="19" spans="1:1" x14ac:dyDescent="0.2">
      <c r="A19" s="7" t="s">
        <v>34</v>
      </c>
    </row>
    <row r="20" spans="1:1" x14ac:dyDescent="0.2">
      <c r="A20" s="7" t="s">
        <v>35</v>
      </c>
    </row>
    <row r="21" spans="1:1" x14ac:dyDescent="0.2">
      <c r="A21" s="7" t="s">
        <v>36</v>
      </c>
    </row>
    <row r="22" spans="1:1" x14ac:dyDescent="0.2">
      <c r="A22" s="7" t="s">
        <v>37</v>
      </c>
    </row>
    <row r="23" spans="1:1" x14ac:dyDescent="0.2">
      <c r="A23" s="7" t="s">
        <v>38</v>
      </c>
    </row>
    <row r="24" spans="1:1" x14ac:dyDescent="0.2">
      <c r="A24" s="7" t="s">
        <v>39</v>
      </c>
    </row>
    <row r="25" spans="1:1" x14ac:dyDescent="0.2">
      <c r="A25" s="7" t="s">
        <v>40</v>
      </c>
    </row>
    <row r="26" spans="1:1" x14ac:dyDescent="0.2">
      <c r="A26" s="7" t="s">
        <v>41</v>
      </c>
    </row>
    <row r="27" spans="1:1" x14ac:dyDescent="0.2">
      <c r="A27" s="7" t="s">
        <v>42</v>
      </c>
    </row>
    <row r="28" spans="1:1" x14ac:dyDescent="0.2">
      <c r="A28" s="7" t="s">
        <v>43</v>
      </c>
    </row>
    <row r="29" spans="1:1" x14ac:dyDescent="0.2">
      <c r="A29" s="7" t="s">
        <v>44</v>
      </c>
    </row>
    <row r="30" spans="1:1" x14ac:dyDescent="0.2">
      <c r="A30" s="7" t="s">
        <v>45</v>
      </c>
    </row>
    <row r="31" spans="1:1" x14ac:dyDescent="0.2">
      <c r="A31" s="7"/>
    </row>
    <row r="32" spans="1:1" x14ac:dyDescent="0.2">
      <c r="A32" s="7"/>
    </row>
    <row r="33" spans="1:1" x14ac:dyDescent="0.2">
      <c r="A33" s="7"/>
    </row>
    <row r="34" spans="1:1" x14ac:dyDescent="0.2">
      <c r="A34" s="7"/>
    </row>
    <row r="35" spans="1:1" x14ac:dyDescent="0.2">
      <c r="A35" s="7"/>
    </row>
    <row r="36" spans="1:1" x14ac:dyDescent="0.2">
      <c r="A36" s="7"/>
    </row>
    <row r="37" spans="1:1" x14ac:dyDescent="0.2">
      <c r="A37" s="7"/>
    </row>
    <row r="38" spans="1:1" x14ac:dyDescent="0.2">
      <c r="A38" s="7"/>
    </row>
    <row r="39" spans="1:1" x14ac:dyDescent="0.2">
      <c r="A39" s="7"/>
    </row>
    <row r="40" spans="1:1" x14ac:dyDescent="0.2">
      <c r="A40" s="7"/>
    </row>
    <row r="41" spans="1:1" x14ac:dyDescent="0.2">
      <c r="A41" s="7"/>
    </row>
    <row r="42" spans="1:1" x14ac:dyDescent="0.2">
      <c r="A42" s="7"/>
    </row>
    <row r="43" spans="1:1" x14ac:dyDescent="0.2">
      <c r="A43" s="7"/>
    </row>
    <row r="44" spans="1:1" x14ac:dyDescent="0.2">
      <c r="A44" s="7"/>
    </row>
    <row r="45" spans="1:1" x14ac:dyDescent="0.2">
      <c r="A45" s="7"/>
    </row>
    <row r="46" spans="1:1" x14ac:dyDescent="0.2">
      <c r="A46" s="7"/>
    </row>
    <row r="47" spans="1:1" x14ac:dyDescent="0.2">
      <c r="A47" s="7"/>
    </row>
    <row r="48" spans="1:1" x14ac:dyDescent="0.2">
      <c r="A48" s="7"/>
    </row>
    <row r="49" spans="1:1" x14ac:dyDescent="0.2">
      <c r="A49" s="7"/>
    </row>
    <row r="50" spans="1:1" x14ac:dyDescent="0.2">
      <c r="A50" s="7"/>
    </row>
    <row r="51" spans="1:1" x14ac:dyDescent="0.2">
      <c r="A51" s="7"/>
    </row>
    <row r="52" spans="1:1" x14ac:dyDescent="0.2">
      <c r="A52" s="7"/>
    </row>
    <row r="53" spans="1:1" x14ac:dyDescent="0.2">
      <c r="A53" s="7"/>
    </row>
    <row r="54" spans="1:1" x14ac:dyDescent="0.2">
      <c r="A54" s="7"/>
    </row>
    <row r="55" spans="1:1" x14ac:dyDescent="0.2">
      <c r="A55" s="7"/>
    </row>
    <row r="56" spans="1:1" x14ac:dyDescent="0.2">
      <c r="A56" s="7"/>
    </row>
    <row r="57" spans="1:1" x14ac:dyDescent="0.2">
      <c r="A57" s="7"/>
    </row>
    <row r="58" spans="1:1" x14ac:dyDescent="0.2">
      <c r="A58" s="7"/>
    </row>
    <row r="59" spans="1:1" x14ac:dyDescent="0.2">
      <c r="A59" s="7"/>
    </row>
    <row r="60" spans="1:1" x14ac:dyDescent="0.2">
      <c r="A60" s="7"/>
    </row>
    <row r="61" spans="1:1" x14ac:dyDescent="0.2">
      <c r="A61" s="7"/>
    </row>
    <row r="62" spans="1:1" x14ac:dyDescent="0.2">
      <c r="A62" s="7"/>
    </row>
    <row r="63" spans="1:1" x14ac:dyDescent="0.2">
      <c r="A63" s="7"/>
    </row>
    <row r="64" spans="1:1" x14ac:dyDescent="0.2">
      <c r="A64" s="7"/>
    </row>
    <row r="65" spans="1:1" x14ac:dyDescent="0.2">
      <c r="A65" s="7"/>
    </row>
    <row r="66" spans="1:1" x14ac:dyDescent="0.2">
      <c r="A66" s="7"/>
    </row>
    <row r="67" spans="1:1" x14ac:dyDescent="0.2">
      <c r="A67" s="7"/>
    </row>
    <row r="68" spans="1:1" x14ac:dyDescent="0.2">
      <c r="A68" s="7"/>
    </row>
    <row r="69" spans="1:1" x14ac:dyDescent="0.2">
      <c r="A69" s="7"/>
    </row>
    <row r="70" spans="1:1" x14ac:dyDescent="0.2">
      <c r="A70" s="7"/>
    </row>
    <row r="71" spans="1:1" x14ac:dyDescent="0.2">
      <c r="A71" s="7"/>
    </row>
    <row r="72" spans="1:1" x14ac:dyDescent="0.2">
      <c r="A72" s="7"/>
    </row>
    <row r="73" spans="1:1" x14ac:dyDescent="0.2">
      <c r="A73" s="7"/>
    </row>
    <row r="74" spans="1:1" x14ac:dyDescent="0.2">
      <c r="A74" s="7"/>
    </row>
    <row r="75" spans="1:1" x14ac:dyDescent="0.2">
      <c r="A75" s="7"/>
    </row>
    <row r="76" spans="1:1" x14ac:dyDescent="0.2">
      <c r="A76" s="7"/>
    </row>
    <row r="77" spans="1:1" x14ac:dyDescent="0.2">
      <c r="A77" s="7"/>
    </row>
    <row r="78" spans="1:1" x14ac:dyDescent="0.2">
      <c r="A78" s="7"/>
    </row>
    <row r="79" spans="1:1" x14ac:dyDescent="0.2">
      <c r="A79" s="7"/>
    </row>
    <row r="80" spans="1:1" x14ac:dyDescent="0.2">
      <c r="A80" s="7"/>
    </row>
    <row r="81" spans="1:1" x14ac:dyDescent="0.2">
      <c r="A81" s="7"/>
    </row>
    <row r="82" spans="1:1" x14ac:dyDescent="0.2">
      <c r="A82" s="7"/>
    </row>
    <row r="83" spans="1:1" x14ac:dyDescent="0.2">
      <c r="A83" s="7"/>
    </row>
    <row r="84" spans="1:1" x14ac:dyDescent="0.2">
      <c r="A84" s="7"/>
    </row>
    <row r="85" spans="1:1" x14ac:dyDescent="0.2">
      <c r="A85" s="7"/>
    </row>
    <row r="86" spans="1:1" x14ac:dyDescent="0.2">
      <c r="A86" s="7"/>
    </row>
    <row r="87" spans="1:1" x14ac:dyDescent="0.2">
      <c r="A87" s="7"/>
    </row>
    <row r="88" spans="1:1" x14ac:dyDescent="0.2">
      <c r="A88" s="7"/>
    </row>
    <row r="89" spans="1:1" x14ac:dyDescent="0.2">
      <c r="A89" s="7"/>
    </row>
    <row r="90" spans="1:1" x14ac:dyDescent="0.2">
      <c r="A90" s="7"/>
    </row>
    <row r="91" spans="1:1" x14ac:dyDescent="0.2">
      <c r="A91" s="7"/>
    </row>
    <row r="92" spans="1:1" x14ac:dyDescent="0.2">
      <c r="A92" s="7"/>
    </row>
    <row r="93" spans="1:1" x14ac:dyDescent="0.2">
      <c r="A93" s="7"/>
    </row>
    <row r="94" spans="1:1" x14ac:dyDescent="0.2">
      <c r="A94" s="7"/>
    </row>
    <row r="95" spans="1:1" x14ac:dyDescent="0.2">
      <c r="A95" s="7"/>
    </row>
    <row r="96" spans="1:1" x14ac:dyDescent="0.2">
      <c r="A96" s="7"/>
    </row>
    <row r="97" spans="1:1" x14ac:dyDescent="0.2">
      <c r="A97" s="7"/>
    </row>
    <row r="98" spans="1:1" x14ac:dyDescent="0.2">
      <c r="A98" s="7"/>
    </row>
    <row r="99" spans="1:1" x14ac:dyDescent="0.2">
      <c r="A99" s="7"/>
    </row>
    <row r="100" spans="1:1" x14ac:dyDescent="0.2">
      <c r="A100" s="7"/>
    </row>
    <row r="101" spans="1:1" x14ac:dyDescent="0.2">
      <c r="A101" s="7"/>
    </row>
    <row r="102" spans="1:1" x14ac:dyDescent="0.2">
      <c r="A102" s="7"/>
    </row>
    <row r="103" spans="1:1" x14ac:dyDescent="0.2">
      <c r="A103" s="7"/>
    </row>
    <row r="104" spans="1:1" x14ac:dyDescent="0.2">
      <c r="A104" s="7"/>
    </row>
    <row r="105" spans="1:1" x14ac:dyDescent="0.2">
      <c r="A105" s="7"/>
    </row>
    <row r="106" spans="1:1" x14ac:dyDescent="0.2">
      <c r="A106" s="7"/>
    </row>
    <row r="107" spans="1:1" x14ac:dyDescent="0.2">
      <c r="A107" s="7"/>
    </row>
    <row r="108" spans="1:1" x14ac:dyDescent="0.2">
      <c r="A108" s="7"/>
    </row>
    <row r="109" spans="1:1" x14ac:dyDescent="0.2">
      <c r="A109" s="7"/>
    </row>
    <row r="110" spans="1:1" x14ac:dyDescent="0.2">
      <c r="A110" s="7"/>
    </row>
    <row r="111" spans="1:1" x14ac:dyDescent="0.2">
      <c r="A111" s="7"/>
    </row>
    <row r="112" spans="1:1" x14ac:dyDescent="0.2">
      <c r="A112" s="7"/>
    </row>
    <row r="113" spans="1:1" x14ac:dyDescent="0.2">
      <c r="A113" s="7"/>
    </row>
    <row r="114" spans="1:1" x14ac:dyDescent="0.2">
      <c r="A114" s="7"/>
    </row>
    <row r="115" spans="1:1" x14ac:dyDescent="0.2">
      <c r="A115" s="7"/>
    </row>
    <row r="116" spans="1:1" x14ac:dyDescent="0.2">
      <c r="A116" s="7"/>
    </row>
    <row r="117" spans="1:1" x14ac:dyDescent="0.2">
      <c r="A117" s="7"/>
    </row>
    <row r="118" spans="1:1" x14ac:dyDescent="0.2">
      <c r="A118" s="7"/>
    </row>
    <row r="119" spans="1:1" x14ac:dyDescent="0.2">
      <c r="A119" s="7"/>
    </row>
    <row r="120" spans="1:1" x14ac:dyDescent="0.2">
      <c r="A120" s="7"/>
    </row>
    <row r="121" spans="1:1" x14ac:dyDescent="0.2">
      <c r="A121" s="7"/>
    </row>
    <row r="122" spans="1:1" x14ac:dyDescent="0.2">
      <c r="A122" s="7"/>
    </row>
    <row r="123" spans="1:1" x14ac:dyDescent="0.2">
      <c r="A123" s="7"/>
    </row>
    <row r="124" spans="1:1" x14ac:dyDescent="0.2">
      <c r="A124" s="7"/>
    </row>
    <row r="125" spans="1:1" x14ac:dyDescent="0.2">
      <c r="A125" s="7"/>
    </row>
    <row r="126" spans="1:1" x14ac:dyDescent="0.2">
      <c r="A126" s="7"/>
    </row>
    <row r="127" spans="1:1" x14ac:dyDescent="0.2">
      <c r="A127" s="7"/>
    </row>
    <row r="128" spans="1:1" x14ac:dyDescent="0.2">
      <c r="A128" s="7"/>
    </row>
    <row r="129" spans="1:1" x14ac:dyDescent="0.2">
      <c r="A129" s="7"/>
    </row>
    <row r="130" spans="1:1" x14ac:dyDescent="0.2">
      <c r="A130" s="7"/>
    </row>
    <row r="131" spans="1:1" x14ac:dyDescent="0.2">
      <c r="A131" s="7"/>
    </row>
    <row r="132" spans="1:1" x14ac:dyDescent="0.2">
      <c r="A132" s="7"/>
    </row>
    <row r="133" spans="1:1" x14ac:dyDescent="0.2">
      <c r="A133" s="7"/>
    </row>
    <row r="134" spans="1:1" x14ac:dyDescent="0.2">
      <c r="A134" s="7"/>
    </row>
    <row r="135" spans="1:1" x14ac:dyDescent="0.2">
      <c r="A135" s="7"/>
    </row>
    <row r="136" spans="1:1" x14ac:dyDescent="0.2">
      <c r="A136" s="7"/>
    </row>
    <row r="137" spans="1:1" x14ac:dyDescent="0.2">
      <c r="A137" s="7"/>
    </row>
    <row r="138" spans="1:1" x14ac:dyDescent="0.2">
      <c r="A138" s="7"/>
    </row>
    <row r="139" spans="1:1" x14ac:dyDescent="0.2">
      <c r="A139" s="7"/>
    </row>
    <row r="140" spans="1:1" x14ac:dyDescent="0.2">
      <c r="A140" s="7"/>
    </row>
    <row r="141" spans="1:1" x14ac:dyDescent="0.2">
      <c r="A141" s="7"/>
    </row>
    <row r="142" spans="1:1" x14ac:dyDescent="0.2">
      <c r="A142" s="7"/>
    </row>
    <row r="143" spans="1:1" x14ac:dyDescent="0.2">
      <c r="A143" s="7"/>
    </row>
    <row r="144" spans="1:1" x14ac:dyDescent="0.2">
      <c r="A144" s="7"/>
    </row>
    <row r="145" spans="1:1" x14ac:dyDescent="0.2">
      <c r="A145" s="7"/>
    </row>
    <row r="146" spans="1:1" x14ac:dyDescent="0.2">
      <c r="A146" s="7"/>
    </row>
    <row r="147" spans="1:1" x14ac:dyDescent="0.2">
      <c r="A147" s="7"/>
    </row>
    <row r="148" spans="1:1" x14ac:dyDescent="0.2">
      <c r="A148" s="7"/>
    </row>
    <row r="149" spans="1:1" x14ac:dyDescent="0.2">
      <c r="A149" s="7"/>
    </row>
    <row r="150" spans="1:1" x14ac:dyDescent="0.2">
      <c r="A150" s="7"/>
    </row>
    <row r="151" spans="1:1" x14ac:dyDescent="0.2">
      <c r="A151" s="7"/>
    </row>
    <row r="152" spans="1:1" x14ac:dyDescent="0.2">
      <c r="A152" s="7"/>
    </row>
    <row r="153" spans="1:1" x14ac:dyDescent="0.2">
      <c r="A153" s="7"/>
    </row>
    <row r="154" spans="1:1" x14ac:dyDescent="0.2">
      <c r="A154" s="7"/>
    </row>
    <row r="155" spans="1:1" x14ac:dyDescent="0.2">
      <c r="A155" s="7"/>
    </row>
    <row r="156" spans="1:1" x14ac:dyDescent="0.2">
      <c r="A156" s="7"/>
    </row>
    <row r="157" spans="1:1" x14ac:dyDescent="0.2">
      <c r="A157" s="7"/>
    </row>
    <row r="158" spans="1:1" x14ac:dyDescent="0.2">
      <c r="A158" s="7"/>
    </row>
    <row r="159" spans="1:1" x14ac:dyDescent="0.2">
      <c r="A159" s="7"/>
    </row>
    <row r="160" spans="1:1" x14ac:dyDescent="0.2">
      <c r="A160" s="7"/>
    </row>
    <row r="161" spans="1:1" x14ac:dyDescent="0.2">
      <c r="A161" s="7"/>
    </row>
    <row r="162" spans="1:1" x14ac:dyDescent="0.2">
      <c r="A162" s="7"/>
    </row>
    <row r="163" spans="1:1" x14ac:dyDescent="0.2">
      <c r="A163" s="7"/>
    </row>
    <row r="164" spans="1:1" x14ac:dyDescent="0.2">
      <c r="A164" s="7"/>
    </row>
    <row r="165" spans="1:1" x14ac:dyDescent="0.2">
      <c r="A165" s="7"/>
    </row>
    <row r="166" spans="1:1" x14ac:dyDescent="0.2">
      <c r="A166" s="7"/>
    </row>
    <row r="167" spans="1:1" x14ac:dyDescent="0.2">
      <c r="A167" s="7"/>
    </row>
    <row r="168" spans="1:1" x14ac:dyDescent="0.2">
      <c r="A168" s="7"/>
    </row>
    <row r="169" spans="1:1" x14ac:dyDescent="0.2">
      <c r="A169" s="7"/>
    </row>
    <row r="170" spans="1:1" x14ac:dyDescent="0.2">
      <c r="A170" s="7"/>
    </row>
    <row r="171" spans="1:1" x14ac:dyDescent="0.2">
      <c r="A171" s="7"/>
    </row>
    <row r="172" spans="1:1" x14ac:dyDescent="0.2">
      <c r="A172" s="7"/>
    </row>
    <row r="173" spans="1:1" x14ac:dyDescent="0.2">
      <c r="A173" s="7"/>
    </row>
    <row r="174" spans="1:1" x14ac:dyDescent="0.2">
      <c r="A174" s="7"/>
    </row>
    <row r="175" spans="1:1" x14ac:dyDescent="0.2">
      <c r="A175" s="7"/>
    </row>
    <row r="176" spans="1:1" x14ac:dyDescent="0.2">
      <c r="A176" s="7"/>
    </row>
    <row r="177" spans="1:1" x14ac:dyDescent="0.2">
      <c r="A177" s="7"/>
    </row>
    <row r="178" spans="1:1" x14ac:dyDescent="0.2">
      <c r="A178" s="7"/>
    </row>
    <row r="179" spans="1:1" x14ac:dyDescent="0.2">
      <c r="A179" s="7"/>
    </row>
    <row r="180" spans="1:1" x14ac:dyDescent="0.2">
      <c r="A180" s="7"/>
    </row>
    <row r="181" spans="1:1" x14ac:dyDescent="0.2">
      <c r="A181" s="7"/>
    </row>
    <row r="182" spans="1:1" x14ac:dyDescent="0.2">
      <c r="A182" s="7"/>
    </row>
    <row r="183" spans="1:1" x14ac:dyDescent="0.2">
      <c r="A183" s="7"/>
    </row>
    <row r="184" spans="1:1" x14ac:dyDescent="0.2">
      <c r="A184" s="7"/>
    </row>
    <row r="185" spans="1:1" x14ac:dyDescent="0.2">
      <c r="A185" s="7"/>
    </row>
    <row r="186" spans="1:1" x14ac:dyDescent="0.2">
      <c r="A186" s="7"/>
    </row>
    <row r="187" spans="1:1" x14ac:dyDescent="0.2">
      <c r="A187" s="7"/>
    </row>
    <row r="188" spans="1:1" x14ac:dyDescent="0.2">
      <c r="A188" s="7"/>
    </row>
    <row r="189" spans="1:1" x14ac:dyDescent="0.2">
      <c r="A189" s="7"/>
    </row>
    <row r="190" spans="1:1" x14ac:dyDescent="0.2">
      <c r="A190" s="7"/>
    </row>
    <row r="191" spans="1:1" x14ac:dyDescent="0.2">
      <c r="A191" s="7"/>
    </row>
    <row r="192" spans="1:1" x14ac:dyDescent="0.2">
      <c r="A192" s="7"/>
    </row>
    <row r="193" spans="1:1" x14ac:dyDescent="0.2">
      <c r="A193" s="7"/>
    </row>
    <row r="194" spans="1:1" x14ac:dyDescent="0.2">
      <c r="A194" s="7"/>
    </row>
    <row r="195" spans="1:1" x14ac:dyDescent="0.2">
      <c r="A195" s="7"/>
    </row>
    <row r="196" spans="1:1" x14ac:dyDescent="0.2">
      <c r="A196" s="7"/>
    </row>
    <row r="197" spans="1:1" x14ac:dyDescent="0.2">
      <c r="A197" s="7"/>
    </row>
    <row r="198" spans="1:1" x14ac:dyDescent="0.2">
      <c r="A198" s="7"/>
    </row>
    <row r="199" spans="1:1" x14ac:dyDescent="0.2">
      <c r="A199" s="7"/>
    </row>
    <row r="200" spans="1:1" x14ac:dyDescent="0.2">
      <c r="A200" s="7"/>
    </row>
    <row r="201" spans="1:1" x14ac:dyDescent="0.2">
      <c r="A201" s="7"/>
    </row>
    <row r="202" spans="1:1" x14ac:dyDescent="0.2">
      <c r="A202" s="7"/>
    </row>
    <row r="203" spans="1:1" x14ac:dyDescent="0.2">
      <c r="A203" s="7"/>
    </row>
    <row r="204" spans="1:1" x14ac:dyDescent="0.2">
      <c r="A204" s="7"/>
    </row>
    <row r="205" spans="1:1" x14ac:dyDescent="0.2">
      <c r="A205" s="7"/>
    </row>
    <row r="206" spans="1:1" x14ac:dyDescent="0.2">
      <c r="A206" s="7"/>
    </row>
    <row r="207" spans="1:1" x14ac:dyDescent="0.2">
      <c r="A207" s="7"/>
    </row>
    <row r="208" spans="1:1" x14ac:dyDescent="0.2">
      <c r="A208" s="7"/>
    </row>
    <row r="209" spans="1:1" x14ac:dyDescent="0.2">
      <c r="A209" s="7"/>
    </row>
    <row r="210" spans="1:1" x14ac:dyDescent="0.2">
      <c r="A210" s="7"/>
    </row>
    <row r="211" spans="1:1" x14ac:dyDescent="0.2">
      <c r="A211" s="7"/>
    </row>
    <row r="212" spans="1:1" x14ac:dyDescent="0.2">
      <c r="A212" s="7"/>
    </row>
    <row r="213" spans="1:1" x14ac:dyDescent="0.2">
      <c r="A213" s="7"/>
    </row>
    <row r="214" spans="1:1" x14ac:dyDescent="0.2">
      <c r="A214" s="7"/>
    </row>
    <row r="215" spans="1:1" x14ac:dyDescent="0.2">
      <c r="A215" s="7"/>
    </row>
    <row r="216" spans="1:1" x14ac:dyDescent="0.2">
      <c r="A216" s="7"/>
    </row>
    <row r="217" spans="1:1" x14ac:dyDescent="0.2">
      <c r="A217" s="7"/>
    </row>
    <row r="218" spans="1:1" x14ac:dyDescent="0.2">
      <c r="A218" s="7"/>
    </row>
    <row r="219" spans="1:1" x14ac:dyDescent="0.2">
      <c r="A219" s="7"/>
    </row>
    <row r="220" spans="1:1" x14ac:dyDescent="0.2">
      <c r="A220" s="7"/>
    </row>
    <row r="221" spans="1:1" x14ac:dyDescent="0.2">
      <c r="A221" s="7"/>
    </row>
    <row r="222" spans="1:1" x14ac:dyDescent="0.2">
      <c r="A222" s="7"/>
    </row>
    <row r="223" spans="1:1" x14ac:dyDescent="0.2">
      <c r="A223" s="7"/>
    </row>
    <row r="224" spans="1:1" x14ac:dyDescent="0.2">
      <c r="A224" s="7"/>
    </row>
    <row r="225" spans="1:1" x14ac:dyDescent="0.2">
      <c r="A225" s="7"/>
    </row>
    <row r="226" spans="1:1" x14ac:dyDescent="0.2">
      <c r="A226" s="7"/>
    </row>
    <row r="227" spans="1:1" x14ac:dyDescent="0.2">
      <c r="A227" s="7"/>
    </row>
    <row r="228" spans="1:1" x14ac:dyDescent="0.2">
      <c r="A228" s="7"/>
    </row>
    <row r="229" spans="1:1" x14ac:dyDescent="0.2">
      <c r="A229" s="7"/>
    </row>
    <row r="230" spans="1:1" x14ac:dyDescent="0.2">
      <c r="A230" s="7"/>
    </row>
    <row r="231" spans="1:1" x14ac:dyDescent="0.2">
      <c r="A231" s="7"/>
    </row>
    <row r="232" spans="1:1" x14ac:dyDescent="0.2">
      <c r="A232" s="7"/>
    </row>
    <row r="233" spans="1:1" x14ac:dyDescent="0.2">
      <c r="A233" s="7"/>
    </row>
    <row r="234" spans="1:1" x14ac:dyDescent="0.2">
      <c r="A234" s="7"/>
    </row>
    <row r="235" spans="1:1" x14ac:dyDescent="0.2">
      <c r="A235" s="7"/>
    </row>
    <row r="236" spans="1:1" x14ac:dyDescent="0.2">
      <c r="A236" s="7"/>
    </row>
    <row r="237" spans="1:1" x14ac:dyDescent="0.2">
      <c r="A237" s="7"/>
    </row>
    <row r="238" spans="1:1" x14ac:dyDescent="0.2">
      <c r="A238" s="7"/>
    </row>
    <row r="239" spans="1:1" x14ac:dyDescent="0.2">
      <c r="A239" s="7"/>
    </row>
    <row r="240" spans="1:1" x14ac:dyDescent="0.2">
      <c r="A240" s="7"/>
    </row>
    <row r="241" spans="1:1" x14ac:dyDescent="0.2">
      <c r="A241" s="7"/>
    </row>
    <row r="242" spans="1:1" x14ac:dyDescent="0.2">
      <c r="A242" s="7"/>
    </row>
    <row r="243" spans="1:1" x14ac:dyDescent="0.2">
      <c r="A243" s="7"/>
    </row>
    <row r="244" spans="1:1" x14ac:dyDescent="0.2">
      <c r="A244" s="7"/>
    </row>
    <row r="245" spans="1:1" x14ac:dyDescent="0.2">
      <c r="A245" s="7"/>
    </row>
    <row r="246" spans="1:1" x14ac:dyDescent="0.2">
      <c r="A246" s="7"/>
    </row>
    <row r="247" spans="1:1" x14ac:dyDescent="0.2">
      <c r="A247" s="7"/>
    </row>
    <row r="248" spans="1:1" x14ac:dyDescent="0.2">
      <c r="A248" s="7"/>
    </row>
    <row r="249" spans="1:1" x14ac:dyDescent="0.2">
      <c r="A249" s="7"/>
    </row>
    <row r="250" spans="1:1" x14ac:dyDescent="0.2">
      <c r="A250" s="7"/>
    </row>
    <row r="251" spans="1:1" x14ac:dyDescent="0.2">
      <c r="A251" s="7"/>
    </row>
    <row r="252" spans="1:1" x14ac:dyDescent="0.2">
      <c r="A252" s="7"/>
    </row>
    <row r="253" spans="1:1" x14ac:dyDescent="0.2">
      <c r="A253" s="7"/>
    </row>
    <row r="254" spans="1:1" x14ac:dyDescent="0.2">
      <c r="A254" s="7"/>
    </row>
    <row r="255" spans="1:1" x14ac:dyDescent="0.2">
      <c r="A255" s="7"/>
    </row>
    <row r="256" spans="1:1" x14ac:dyDescent="0.2">
      <c r="A256" s="7"/>
    </row>
    <row r="257" spans="1:1" x14ac:dyDescent="0.2">
      <c r="A257" s="7"/>
    </row>
    <row r="258" spans="1:1" x14ac:dyDescent="0.2">
      <c r="A258" s="7"/>
    </row>
    <row r="259" spans="1:1" x14ac:dyDescent="0.2">
      <c r="A259" s="7"/>
    </row>
    <row r="260" spans="1:1" x14ac:dyDescent="0.2">
      <c r="A260" s="7"/>
    </row>
    <row r="261" spans="1:1" x14ac:dyDescent="0.2">
      <c r="A261" s="7"/>
    </row>
    <row r="262" spans="1:1" x14ac:dyDescent="0.2">
      <c r="A262" s="7"/>
    </row>
    <row r="263" spans="1:1" x14ac:dyDescent="0.2">
      <c r="A263" s="7"/>
    </row>
    <row r="264" spans="1:1" x14ac:dyDescent="0.2">
      <c r="A264" s="7"/>
    </row>
    <row r="265" spans="1:1" x14ac:dyDescent="0.2">
      <c r="A265" s="7"/>
    </row>
    <row r="266" spans="1:1" x14ac:dyDescent="0.2">
      <c r="A266" s="7"/>
    </row>
    <row r="267" spans="1:1" x14ac:dyDescent="0.2">
      <c r="A267" s="7"/>
    </row>
    <row r="268" spans="1:1" x14ac:dyDescent="0.2">
      <c r="A268" s="7"/>
    </row>
    <row r="269" spans="1:1" x14ac:dyDescent="0.2">
      <c r="A269" s="7"/>
    </row>
    <row r="270" spans="1:1" x14ac:dyDescent="0.2">
      <c r="A270" s="7"/>
    </row>
    <row r="271" spans="1:1" x14ac:dyDescent="0.2">
      <c r="A271" s="7"/>
    </row>
    <row r="272" spans="1:1" x14ac:dyDescent="0.2">
      <c r="A272" s="7"/>
    </row>
    <row r="273" spans="1:1" x14ac:dyDescent="0.2">
      <c r="A273" s="7"/>
    </row>
    <row r="274" spans="1:1" x14ac:dyDescent="0.2">
      <c r="A274" s="7"/>
    </row>
    <row r="275" spans="1:1" x14ac:dyDescent="0.2">
      <c r="A275" s="7"/>
    </row>
    <row r="276" spans="1:1" x14ac:dyDescent="0.2">
      <c r="A276" s="7"/>
    </row>
    <row r="277" spans="1:1" x14ac:dyDescent="0.2">
      <c r="A277" s="7"/>
    </row>
    <row r="278" spans="1:1" x14ac:dyDescent="0.2">
      <c r="A278" s="7"/>
    </row>
    <row r="279" spans="1:1" x14ac:dyDescent="0.2">
      <c r="A279" s="7"/>
    </row>
    <row r="280" spans="1:1" x14ac:dyDescent="0.2">
      <c r="A280" s="7"/>
    </row>
    <row r="281" spans="1:1" x14ac:dyDescent="0.2">
      <c r="A281" s="7"/>
    </row>
    <row r="282" spans="1:1" x14ac:dyDescent="0.2">
      <c r="A282" s="7"/>
    </row>
    <row r="283" spans="1:1" x14ac:dyDescent="0.2">
      <c r="A283" s="7"/>
    </row>
    <row r="284" spans="1:1" x14ac:dyDescent="0.2">
      <c r="A284" s="7"/>
    </row>
    <row r="285" spans="1:1" x14ac:dyDescent="0.2">
      <c r="A285" s="7"/>
    </row>
    <row r="286" spans="1:1" x14ac:dyDescent="0.2">
      <c r="A286" s="7"/>
    </row>
    <row r="287" spans="1:1" x14ac:dyDescent="0.2">
      <c r="A287" s="7"/>
    </row>
    <row r="288" spans="1:1" x14ac:dyDescent="0.2">
      <c r="A288" s="7"/>
    </row>
    <row r="289" spans="1:1" x14ac:dyDescent="0.2">
      <c r="A289" s="7"/>
    </row>
    <row r="290" spans="1:1" x14ac:dyDescent="0.2">
      <c r="A290" s="7"/>
    </row>
    <row r="291" spans="1:1" x14ac:dyDescent="0.2">
      <c r="A291" s="7"/>
    </row>
    <row r="292" spans="1:1" x14ac:dyDescent="0.2">
      <c r="A292" s="7"/>
    </row>
    <row r="293" spans="1:1" x14ac:dyDescent="0.2">
      <c r="A293" s="7"/>
    </row>
    <row r="294" spans="1:1" x14ac:dyDescent="0.2">
      <c r="A294" s="7"/>
    </row>
    <row r="295" spans="1:1" x14ac:dyDescent="0.2">
      <c r="A295" s="7"/>
    </row>
    <row r="296" spans="1:1" x14ac:dyDescent="0.2">
      <c r="A296" s="7"/>
    </row>
    <row r="297" spans="1:1" x14ac:dyDescent="0.2">
      <c r="A297" s="7"/>
    </row>
    <row r="298" spans="1:1" x14ac:dyDescent="0.2">
      <c r="A298" s="7"/>
    </row>
    <row r="299" spans="1:1" x14ac:dyDescent="0.2">
      <c r="A299" s="7"/>
    </row>
    <row r="300" spans="1:1" x14ac:dyDescent="0.2">
      <c r="A300" s="7"/>
    </row>
    <row r="301" spans="1:1" x14ac:dyDescent="0.2">
      <c r="A301" s="7"/>
    </row>
    <row r="302" spans="1:1" x14ac:dyDescent="0.2">
      <c r="A302" s="7"/>
    </row>
    <row r="303" spans="1:1" x14ac:dyDescent="0.2">
      <c r="A303" s="7"/>
    </row>
    <row r="304" spans="1:1" x14ac:dyDescent="0.2">
      <c r="A304" s="7"/>
    </row>
    <row r="305" spans="1:1" x14ac:dyDescent="0.2">
      <c r="A305" s="7"/>
    </row>
    <row r="306" spans="1:1" x14ac:dyDescent="0.2">
      <c r="A306" s="7"/>
    </row>
    <row r="307" spans="1:1" x14ac:dyDescent="0.2">
      <c r="A307" s="7"/>
    </row>
    <row r="308" spans="1:1" x14ac:dyDescent="0.2">
      <c r="A308" s="7"/>
    </row>
    <row r="309" spans="1:1" x14ac:dyDescent="0.2">
      <c r="A309" s="7"/>
    </row>
    <row r="310" spans="1:1" x14ac:dyDescent="0.2">
      <c r="A310" s="7"/>
    </row>
    <row r="311" spans="1:1" x14ac:dyDescent="0.2">
      <c r="A311" s="7"/>
    </row>
    <row r="312" spans="1:1" x14ac:dyDescent="0.2">
      <c r="A312" s="7"/>
    </row>
    <row r="313" spans="1:1" x14ac:dyDescent="0.2">
      <c r="A313" s="7"/>
    </row>
    <row r="314" spans="1:1" x14ac:dyDescent="0.2">
      <c r="A314" s="7"/>
    </row>
    <row r="315" spans="1:1" x14ac:dyDescent="0.2">
      <c r="A315" s="7"/>
    </row>
    <row r="316" spans="1:1" x14ac:dyDescent="0.2">
      <c r="A316" s="7"/>
    </row>
    <row r="317" spans="1:1" x14ac:dyDescent="0.2">
      <c r="A317" s="7"/>
    </row>
    <row r="318" spans="1:1" x14ac:dyDescent="0.2">
      <c r="A318" s="7"/>
    </row>
    <row r="319" spans="1:1" x14ac:dyDescent="0.2">
      <c r="A319" s="7"/>
    </row>
    <row r="320" spans="1:1" x14ac:dyDescent="0.2">
      <c r="A320" s="7"/>
    </row>
    <row r="321" spans="1:1" x14ac:dyDescent="0.2">
      <c r="A321" s="7"/>
    </row>
    <row r="322" spans="1:1" x14ac:dyDescent="0.2">
      <c r="A322" s="7"/>
    </row>
    <row r="323" spans="1:1" x14ac:dyDescent="0.2">
      <c r="A323" s="7"/>
    </row>
    <row r="324" spans="1:1" x14ac:dyDescent="0.2">
      <c r="A324" s="7"/>
    </row>
    <row r="325" spans="1:1" x14ac:dyDescent="0.2">
      <c r="A325" s="7"/>
    </row>
    <row r="326" spans="1:1" x14ac:dyDescent="0.2">
      <c r="A326" s="7"/>
    </row>
    <row r="327" spans="1:1" x14ac:dyDescent="0.2">
      <c r="A327" s="7"/>
    </row>
    <row r="328" spans="1:1" x14ac:dyDescent="0.2">
      <c r="A328" s="7"/>
    </row>
    <row r="329" spans="1:1" x14ac:dyDescent="0.2">
      <c r="A329" s="7"/>
    </row>
    <row r="330" spans="1:1" x14ac:dyDescent="0.2">
      <c r="A330" s="7"/>
    </row>
    <row r="331" spans="1:1" x14ac:dyDescent="0.2">
      <c r="A331" s="7"/>
    </row>
    <row r="332" spans="1:1" x14ac:dyDescent="0.2">
      <c r="A332" s="7"/>
    </row>
    <row r="333" spans="1:1" x14ac:dyDescent="0.2">
      <c r="A333" s="7"/>
    </row>
    <row r="334" spans="1:1" x14ac:dyDescent="0.2">
      <c r="A334" s="7"/>
    </row>
    <row r="335" spans="1:1" x14ac:dyDescent="0.2">
      <c r="A335" s="7"/>
    </row>
    <row r="336" spans="1:1" x14ac:dyDescent="0.2">
      <c r="A336" s="7"/>
    </row>
    <row r="337" spans="1:1" x14ac:dyDescent="0.2">
      <c r="A337" s="7"/>
    </row>
    <row r="338" spans="1:1" x14ac:dyDescent="0.2">
      <c r="A338" s="7"/>
    </row>
    <row r="339" spans="1:1" x14ac:dyDescent="0.2">
      <c r="A339" s="7"/>
    </row>
    <row r="340" spans="1:1" x14ac:dyDescent="0.2">
      <c r="A340" s="7"/>
    </row>
    <row r="341" spans="1:1" x14ac:dyDescent="0.2">
      <c r="A341" s="7"/>
    </row>
    <row r="342" spans="1:1" x14ac:dyDescent="0.2">
      <c r="A342" s="7"/>
    </row>
    <row r="343" spans="1:1" x14ac:dyDescent="0.2">
      <c r="A343" s="7"/>
    </row>
    <row r="344" spans="1:1" x14ac:dyDescent="0.2">
      <c r="A344" s="7"/>
    </row>
    <row r="345" spans="1:1" x14ac:dyDescent="0.2">
      <c r="A345" s="7"/>
    </row>
    <row r="346" spans="1:1" x14ac:dyDescent="0.2">
      <c r="A346" s="7"/>
    </row>
    <row r="347" spans="1:1" x14ac:dyDescent="0.2">
      <c r="A347" s="7"/>
    </row>
    <row r="348" spans="1:1" x14ac:dyDescent="0.2">
      <c r="A348" s="7"/>
    </row>
    <row r="349" spans="1:1" x14ac:dyDescent="0.2">
      <c r="A349" s="7"/>
    </row>
    <row r="350" spans="1:1" x14ac:dyDescent="0.2">
      <c r="A350" s="7"/>
    </row>
    <row r="351" spans="1:1" x14ac:dyDescent="0.2">
      <c r="A351" s="7"/>
    </row>
    <row r="352" spans="1:1" x14ac:dyDescent="0.2">
      <c r="A352" s="7"/>
    </row>
    <row r="353" spans="1:1" x14ac:dyDescent="0.2">
      <c r="A353" s="7"/>
    </row>
    <row r="354" spans="1:1" x14ac:dyDescent="0.2">
      <c r="A354" s="7"/>
    </row>
    <row r="355" spans="1:1" x14ac:dyDescent="0.2">
      <c r="A355" s="7"/>
    </row>
    <row r="356" spans="1:1" x14ac:dyDescent="0.2">
      <c r="A356" s="7"/>
    </row>
    <row r="357" spans="1:1" x14ac:dyDescent="0.2">
      <c r="A357" s="7"/>
    </row>
    <row r="358" spans="1:1" x14ac:dyDescent="0.2">
      <c r="A358" s="7"/>
    </row>
    <row r="359" spans="1:1" x14ac:dyDescent="0.2">
      <c r="A359" s="7"/>
    </row>
    <row r="360" spans="1:1" x14ac:dyDescent="0.2">
      <c r="A360" s="7"/>
    </row>
    <row r="361" spans="1:1" x14ac:dyDescent="0.2">
      <c r="A361" s="7"/>
    </row>
    <row r="362" spans="1:1" x14ac:dyDescent="0.2">
      <c r="A362" s="7"/>
    </row>
    <row r="363" spans="1:1" x14ac:dyDescent="0.2">
      <c r="A363" s="7"/>
    </row>
    <row r="364" spans="1:1" x14ac:dyDescent="0.2">
      <c r="A364" s="7"/>
    </row>
    <row r="365" spans="1:1" x14ac:dyDescent="0.2">
      <c r="A365" s="7"/>
    </row>
    <row r="366" spans="1:1" x14ac:dyDescent="0.2">
      <c r="A366" s="7"/>
    </row>
    <row r="367" spans="1:1" x14ac:dyDescent="0.2">
      <c r="A367" s="7"/>
    </row>
    <row r="368" spans="1:1" x14ac:dyDescent="0.2">
      <c r="A368" s="7"/>
    </row>
    <row r="369" spans="1:1" x14ac:dyDescent="0.2">
      <c r="A369" s="7"/>
    </row>
    <row r="370" spans="1:1" x14ac:dyDescent="0.2">
      <c r="A370" s="7"/>
    </row>
    <row r="371" spans="1:1" x14ac:dyDescent="0.2">
      <c r="A371" s="7"/>
    </row>
    <row r="372" spans="1:1" x14ac:dyDescent="0.2">
      <c r="A372" s="7"/>
    </row>
    <row r="373" spans="1:1" x14ac:dyDescent="0.2">
      <c r="A373" s="7"/>
    </row>
    <row r="374" spans="1:1" x14ac:dyDescent="0.2">
      <c r="A374" s="7"/>
    </row>
    <row r="375" spans="1:1" x14ac:dyDescent="0.2">
      <c r="A375" s="7"/>
    </row>
    <row r="376" spans="1:1" x14ac:dyDescent="0.2">
      <c r="A376" s="7"/>
    </row>
    <row r="377" spans="1:1" x14ac:dyDescent="0.2">
      <c r="A377" s="7"/>
    </row>
    <row r="378" spans="1:1" x14ac:dyDescent="0.2">
      <c r="A378" s="7"/>
    </row>
    <row r="379" spans="1:1" x14ac:dyDescent="0.2">
      <c r="A379" s="7"/>
    </row>
    <row r="380" spans="1:1" x14ac:dyDescent="0.2">
      <c r="A380" s="7"/>
    </row>
    <row r="381" spans="1:1" x14ac:dyDescent="0.2">
      <c r="A381" s="7"/>
    </row>
    <row r="382" spans="1:1" x14ac:dyDescent="0.2">
      <c r="A382" s="7"/>
    </row>
    <row r="383" spans="1:1" x14ac:dyDescent="0.2">
      <c r="A383" s="7"/>
    </row>
    <row r="384" spans="1:1" x14ac:dyDescent="0.2">
      <c r="A384" s="7"/>
    </row>
    <row r="385" spans="1:1" x14ac:dyDescent="0.2">
      <c r="A385" s="7"/>
    </row>
    <row r="386" spans="1:1" x14ac:dyDescent="0.2">
      <c r="A386" s="7"/>
    </row>
    <row r="387" spans="1:1" x14ac:dyDescent="0.2">
      <c r="A387" s="7"/>
    </row>
    <row r="388" spans="1:1" x14ac:dyDescent="0.2">
      <c r="A388" s="7"/>
    </row>
    <row r="389" spans="1:1" x14ac:dyDescent="0.2">
      <c r="A389" s="7"/>
    </row>
    <row r="390" spans="1:1" x14ac:dyDescent="0.2">
      <c r="A390" s="7"/>
    </row>
    <row r="391" spans="1:1" x14ac:dyDescent="0.2">
      <c r="A391" s="7"/>
    </row>
    <row r="392" spans="1:1" x14ac:dyDescent="0.2">
      <c r="A392" s="7"/>
    </row>
    <row r="393" spans="1:1" x14ac:dyDescent="0.2">
      <c r="A393" s="7"/>
    </row>
    <row r="394" spans="1:1" x14ac:dyDescent="0.2">
      <c r="A394" s="7"/>
    </row>
    <row r="395" spans="1:1" x14ac:dyDescent="0.2">
      <c r="A395" s="7"/>
    </row>
    <row r="396" spans="1:1" x14ac:dyDescent="0.2">
      <c r="A396" s="7"/>
    </row>
    <row r="397" spans="1:1" x14ac:dyDescent="0.2">
      <c r="A397" s="7"/>
    </row>
    <row r="398" spans="1:1" x14ac:dyDescent="0.2">
      <c r="A398" s="7"/>
    </row>
    <row r="399" spans="1:1" x14ac:dyDescent="0.2">
      <c r="A399" s="7"/>
    </row>
    <row r="400" spans="1:1" x14ac:dyDescent="0.2">
      <c r="A400" s="7"/>
    </row>
    <row r="401" spans="1:1" x14ac:dyDescent="0.2">
      <c r="A401" s="7"/>
    </row>
    <row r="402" spans="1:1" x14ac:dyDescent="0.2">
      <c r="A402" s="7"/>
    </row>
    <row r="403" spans="1:1" x14ac:dyDescent="0.2">
      <c r="A403" s="7"/>
    </row>
    <row r="404" spans="1:1" x14ac:dyDescent="0.2">
      <c r="A404" s="7"/>
    </row>
    <row r="405" spans="1:1" x14ac:dyDescent="0.2">
      <c r="A405" s="7"/>
    </row>
    <row r="406" spans="1:1" x14ac:dyDescent="0.2">
      <c r="A406" s="7"/>
    </row>
    <row r="407" spans="1:1" x14ac:dyDescent="0.2">
      <c r="A407" s="7"/>
    </row>
    <row r="408" spans="1:1" x14ac:dyDescent="0.2">
      <c r="A408" s="7"/>
    </row>
    <row r="409" spans="1:1" x14ac:dyDescent="0.2">
      <c r="A409" s="7"/>
    </row>
    <row r="410" spans="1:1" x14ac:dyDescent="0.2">
      <c r="A410" s="7"/>
    </row>
    <row r="411" spans="1:1" x14ac:dyDescent="0.2">
      <c r="A411" s="7"/>
    </row>
    <row r="412" spans="1:1" x14ac:dyDescent="0.2">
      <c r="A412" s="7"/>
    </row>
    <row r="413" spans="1:1" x14ac:dyDescent="0.2">
      <c r="A413" s="7"/>
    </row>
    <row r="414" spans="1:1" x14ac:dyDescent="0.2">
      <c r="A414" s="7"/>
    </row>
    <row r="415" spans="1:1" x14ac:dyDescent="0.2">
      <c r="A415" s="7"/>
    </row>
    <row r="416" spans="1:1" x14ac:dyDescent="0.2">
      <c r="A416" s="7"/>
    </row>
    <row r="417" spans="1:1" x14ac:dyDescent="0.2">
      <c r="A417" s="7"/>
    </row>
    <row r="418" spans="1:1" x14ac:dyDescent="0.2">
      <c r="A418" s="7"/>
    </row>
    <row r="419" spans="1:1" x14ac:dyDescent="0.2">
      <c r="A419" s="7"/>
    </row>
    <row r="420" spans="1:1" x14ac:dyDescent="0.2">
      <c r="A420" s="7"/>
    </row>
    <row r="421" spans="1:1" x14ac:dyDescent="0.2">
      <c r="A421" s="7"/>
    </row>
    <row r="422" spans="1:1" x14ac:dyDescent="0.2">
      <c r="A422" s="7"/>
    </row>
    <row r="423" spans="1:1" x14ac:dyDescent="0.2">
      <c r="A423" s="7"/>
    </row>
    <row r="424" spans="1:1" x14ac:dyDescent="0.2">
      <c r="A424" s="7"/>
    </row>
    <row r="425" spans="1:1" x14ac:dyDescent="0.2">
      <c r="A425" s="7"/>
    </row>
    <row r="426" spans="1:1" x14ac:dyDescent="0.2">
      <c r="A426" s="7"/>
    </row>
    <row r="427" spans="1:1" x14ac:dyDescent="0.2">
      <c r="A427" s="7"/>
    </row>
    <row r="428" spans="1:1" x14ac:dyDescent="0.2">
      <c r="A428" s="7"/>
    </row>
    <row r="429" spans="1:1" x14ac:dyDescent="0.2">
      <c r="A429" s="7"/>
    </row>
    <row r="430" spans="1:1" x14ac:dyDescent="0.2">
      <c r="A430" s="7"/>
    </row>
    <row r="431" spans="1:1" x14ac:dyDescent="0.2">
      <c r="A431" s="7"/>
    </row>
    <row r="432" spans="1:1" x14ac:dyDescent="0.2">
      <c r="A432" s="7"/>
    </row>
    <row r="433" spans="1:1" x14ac:dyDescent="0.2">
      <c r="A433" s="7"/>
    </row>
    <row r="434" spans="1:1" x14ac:dyDescent="0.2">
      <c r="A434" s="7"/>
    </row>
    <row r="435" spans="1:1" x14ac:dyDescent="0.2">
      <c r="A435" s="7"/>
    </row>
    <row r="436" spans="1:1" x14ac:dyDescent="0.2">
      <c r="A436" s="7"/>
    </row>
    <row r="437" spans="1:1" x14ac:dyDescent="0.2">
      <c r="A437" s="7"/>
    </row>
    <row r="438" spans="1:1" x14ac:dyDescent="0.2">
      <c r="A438" s="7"/>
    </row>
    <row r="439" spans="1:1" x14ac:dyDescent="0.2">
      <c r="A439" s="7"/>
    </row>
    <row r="440" spans="1:1" x14ac:dyDescent="0.2">
      <c r="A440" s="7"/>
    </row>
    <row r="441" spans="1:1" x14ac:dyDescent="0.2">
      <c r="A441" s="7"/>
    </row>
    <row r="442" spans="1:1" x14ac:dyDescent="0.2">
      <c r="A442" s="7"/>
    </row>
    <row r="443" spans="1:1" x14ac:dyDescent="0.2">
      <c r="A443" s="7"/>
    </row>
    <row r="444" spans="1:1" x14ac:dyDescent="0.2">
      <c r="A444" s="7"/>
    </row>
    <row r="445" spans="1:1" x14ac:dyDescent="0.2">
      <c r="A445" s="7"/>
    </row>
    <row r="446" spans="1:1" x14ac:dyDescent="0.2">
      <c r="A446" s="7"/>
    </row>
    <row r="447" spans="1:1" x14ac:dyDescent="0.2">
      <c r="A447" s="7"/>
    </row>
    <row r="448" spans="1:1" x14ac:dyDescent="0.2">
      <c r="A448" s="7"/>
    </row>
    <row r="449" spans="1:1" x14ac:dyDescent="0.2">
      <c r="A449" s="7"/>
    </row>
    <row r="450" spans="1:1" x14ac:dyDescent="0.2">
      <c r="A450" s="7"/>
    </row>
    <row r="451" spans="1:1" x14ac:dyDescent="0.2">
      <c r="A451" s="7"/>
    </row>
    <row r="452" spans="1:1" x14ac:dyDescent="0.2">
      <c r="A452" s="7"/>
    </row>
    <row r="453" spans="1:1" x14ac:dyDescent="0.2">
      <c r="A453" s="7"/>
    </row>
    <row r="454" spans="1:1" x14ac:dyDescent="0.2">
      <c r="A454" s="7"/>
    </row>
    <row r="455" spans="1:1" x14ac:dyDescent="0.2">
      <c r="A455" s="7"/>
    </row>
    <row r="456" spans="1:1" x14ac:dyDescent="0.2">
      <c r="A456" s="7"/>
    </row>
    <row r="457" spans="1:1" x14ac:dyDescent="0.2">
      <c r="A457" s="7"/>
    </row>
    <row r="458" spans="1:1" x14ac:dyDescent="0.2">
      <c r="A458" s="7"/>
    </row>
    <row r="459" spans="1:1" x14ac:dyDescent="0.2">
      <c r="A459" s="7"/>
    </row>
    <row r="460" spans="1:1" x14ac:dyDescent="0.2">
      <c r="A460" s="7"/>
    </row>
    <row r="461" spans="1:1" x14ac:dyDescent="0.2">
      <c r="A461" s="7"/>
    </row>
    <row r="462" spans="1:1" x14ac:dyDescent="0.2">
      <c r="A462" s="7"/>
    </row>
    <row r="463" spans="1:1" x14ac:dyDescent="0.2">
      <c r="A463" s="7"/>
    </row>
    <row r="464" spans="1:1" x14ac:dyDescent="0.2">
      <c r="A464" s="7"/>
    </row>
    <row r="465" spans="1:1" x14ac:dyDescent="0.2">
      <c r="A465" s="7"/>
    </row>
    <row r="466" spans="1:1" x14ac:dyDescent="0.2">
      <c r="A466" s="7"/>
    </row>
    <row r="467" spans="1:1" x14ac:dyDescent="0.2">
      <c r="A467" s="7"/>
    </row>
    <row r="468" spans="1:1" x14ac:dyDescent="0.2">
      <c r="A468" s="7"/>
    </row>
    <row r="469" spans="1:1" x14ac:dyDescent="0.2">
      <c r="A469" s="7"/>
    </row>
    <row r="470" spans="1:1" x14ac:dyDescent="0.2">
      <c r="A470" s="7"/>
    </row>
    <row r="471" spans="1:1" x14ac:dyDescent="0.2">
      <c r="A471" s="7"/>
    </row>
    <row r="472" spans="1:1" x14ac:dyDescent="0.2">
      <c r="A472" s="7"/>
    </row>
    <row r="473" spans="1:1" x14ac:dyDescent="0.2">
      <c r="A473" s="7"/>
    </row>
    <row r="474" spans="1:1" x14ac:dyDescent="0.2">
      <c r="A474" s="7"/>
    </row>
    <row r="475" spans="1:1" x14ac:dyDescent="0.2">
      <c r="A475" s="7"/>
    </row>
    <row r="476" spans="1:1" x14ac:dyDescent="0.2">
      <c r="A476" s="7"/>
    </row>
    <row r="477" spans="1:1" x14ac:dyDescent="0.2">
      <c r="A477" s="7"/>
    </row>
    <row r="478" spans="1:1" x14ac:dyDescent="0.2">
      <c r="A478" s="7"/>
    </row>
    <row r="479" spans="1:1" x14ac:dyDescent="0.2">
      <c r="A479" s="7"/>
    </row>
    <row r="480" spans="1:1" x14ac:dyDescent="0.2">
      <c r="A480" s="7"/>
    </row>
    <row r="481" spans="1:1" x14ac:dyDescent="0.2">
      <c r="A481" s="7"/>
    </row>
    <row r="482" spans="1:1" x14ac:dyDescent="0.2">
      <c r="A482" s="7"/>
    </row>
    <row r="483" spans="1:1" x14ac:dyDescent="0.2">
      <c r="A483" s="7"/>
    </row>
    <row r="484" spans="1:1" x14ac:dyDescent="0.2">
      <c r="A484" s="7"/>
    </row>
    <row r="485" spans="1:1" x14ac:dyDescent="0.2">
      <c r="A485" s="7"/>
    </row>
    <row r="486" spans="1:1" x14ac:dyDescent="0.2">
      <c r="A486" s="7"/>
    </row>
    <row r="487" spans="1:1" x14ac:dyDescent="0.2">
      <c r="A487" s="7"/>
    </row>
    <row r="488" spans="1:1" x14ac:dyDescent="0.2">
      <c r="A488" s="7"/>
    </row>
    <row r="489" spans="1:1" x14ac:dyDescent="0.2">
      <c r="A489" s="7"/>
    </row>
    <row r="490" spans="1:1" x14ac:dyDescent="0.2">
      <c r="A490" s="7"/>
    </row>
    <row r="491" spans="1:1" x14ac:dyDescent="0.2">
      <c r="A491" s="7"/>
    </row>
    <row r="492" spans="1:1" x14ac:dyDescent="0.2">
      <c r="A492" s="7"/>
    </row>
    <row r="493" spans="1:1" x14ac:dyDescent="0.2">
      <c r="A493" s="7"/>
    </row>
    <row r="494" spans="1:1" x14ac:dyDescent="0.2">
      <c r="A494" s="7"/>
    </row>
    <row r="495" spans="1:1" x14ac:dyDescent="0.2">
      <c r="A495" s="7"/>
    </row>
    <row r="496" spans="1:1" x14ac:dyDescent="0.2">
      <c r="A496" s="7"/>
    </row>
    <row r="497" spans="1:1" x14ac:dyDescent="0.2">
      <c r="A497" s="7"/>
    </row>
    <row r="498" spans="1:1" x14ac:dyDescent="0.2">
      <c r="A498" s="7"/>
    </row>
    <row r="499" spans="1:1" x14ac:dyDescent="0.2">
      <c r="A499" s="7"/>
    </row>
    <row r="500" spans="1:1" x14ac:dyDescent="0.2">
      <c r="A500" s="7"/>
    </row>
    <row r="501" spans="1:1" x14ac:dyDescent="0.2">
      <c r="A501" s="7"/>
    </row>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2F9EE-18A8-C344-9000-79C0CA6CA8B3}">
  <dimension ref="A1:AD1241"/>
  <sheetViews>
    <sheetView topLeftCell="L253" workbookViewId="0">
      <selection activeCell="AB181" sqref="AB181:AB261"/>
    </sheetView>
  </sheetViews>
  <sheetFormatPr baseColWidth="10" defaultColWidth="11.1640625" defaultRowHeight="16" x14ac:dyDescent="0.2"/>
  <cols>
    <col min="16" max="16" width="10.83203125" style="10"/>
    <col min="17" max="17" width="17.83203125" style="10" customWidth="1"/>
    <col min="19" max="19" width="10.83203125" style="20"/>
  </cols>
  <sheetData>
    <row r="1" spans="1:30" x14ac:dyDescent="0.2">
      <c r="A1" s="8">
        <v>18.22</v>
      </c>
      <c r="B1" s="8">
        <v>21.32</v>
      </c>
      <c r="C1" s="8">
        <v>25.32</v>
      </c>
      <c r="D1" s="8">
        <v>29.81</v>
      </c>
      <c r="E1" s="8">
        <v>35.659999999999997</v>
      </c>
      <c r="F1" s="8">
        <v>41</v>
      </c>
      <c r="G1" s="8">
        <v>49.7</v>
      </c>
      <c r="H1" s="8">
        <v>57.74</v>
      </c>
      <c r="I1" s="8">
        <v>68.62</v>
      </c>
      <c r="J1" s="8">
        <v>82.44</v>
      </c>
      <c r="K1" s="8">
        <v>84.33</v>
      </c>
      <c r="L1" s="8">
        <v>92.51</v>
      </c>
      <c r="P1" s="22" t="s">
        <v>104</v>
      </c>
      <c r="Q1" s="10" t="s">
        <v>105</v>
      </c>
      <c r="R1" t="s">
        <v>106</v>
      </c>
    </row>
    <row r="2" spans="1:30" x14ac:dyDescent="0.2">
      <c r="B2" s="9">
        <f>B1/A1-1</f>
        <v>0.17014270032930856</v>
      </c>
      <c r="C2" s="9">
        <f t="shared" ref="C2:L2" si="0">C1/B1-1</f>
        <v>0.18761726078799246</v>
      </c>
      <c r="D2" s="9">
        <f t="shared" si="0"/>
        <v>0.1773301737756714</v>
      </c>
      <c r="E2" s="9">
        <f t="shared" si="0"/>
        <v>0.19624287151962427</v>
      </c>
      <c r="F2" s="9">
        <f t="shared" si="0"/>
        <v>0.14974761637689293</v>
      </c>
      <c r="G2" s="9">
        <f t="shared" si="0"/>
        <v>0.21219512195121948</v>
      </c>
      <c r="H2" s="9">
        <f t="shared" si="0"/>
        <v>0.16177062374245477</v>
      </c>
      <c r="I2" s="9">
        <f t="shared" si="0"/>
        <v>0.18843089712504324</v>
      </c>
      <c r="J2" s="9">
        <f t="shared" si="0"/>
        <v>0.20139900903526664</v>
      </c>
      <c r="K2" s="9">
        <f t="shared" si="0"/>
        <v>2.2925764192139653E-2</v>
      </c>
      <c r="L2" s="9">
        <f t="shared" si="0"/>
        <v>9.699988141823801E-2</v>
      </c>
      <c r="M2" s="9"/>
      <c r="N2" s="18">
        <v>192.23</v>
      </c>
      <c r="O2">
        <v>1</v>
      </c>
      <c r="P2" s="10">
        <v>1957.400024414062</v>
      </c>
      <c r="Q2" s="10">
        <f>MAX(P2:$P$2)</f>
        <v>1957.400024414062</v>
      </c>
      <c r="R2" s="9">
        <f>P2/Q2-1</f>
        <v>0</v>
      </c>
      <c r="Z2" s="25" t="s">
        <v>112</v>
      </c>
      <c r="AA2" s="25" t="s">
        <v>113</v>
      </c>
    </row>
    <row r="3" spans="1:30" x14ac:dyDescent="0.2">
      <c r="A3" s="11">
        <v>42555</v>
      </c>
      <c r="B3" s="11">
        <v>50666</v>
      </c>
      <c r="C3" s="11">
        <v>63162</v>
      </c>
      <c r="D3" s="11">
        <v>73271</v>
      </c>
      <c r="E3" s="11">
        <v>85288</v>
      </c>
      <c r="F3" s="11">
        <v>105161</v>
      </c>
      <c r="G3" s="11">
        <v>122189</v>
      </c>
      <c r="H3" s="11">
        <v>128552</v>
      </c>
      <c r="I3" s="11">
        <v>135936</v>
      </c>
      <c r="J3" s="11">
        <v>170754</v>
      </c>
      <c r="K3" s="11">
        <v>283649</v>
      </c>
      <c r="L3" s="11">
        <v>336367</v>
      </c>
      <c r="N3" s="19">
        <v>194.17</v>
      </c>
      <c r="O3" s="11">
        <v>2</v>
      </c>
      <c r="P3" s="10">
        <v>1986.900024414062</v>
      </c>
      <c r="Q3" s="10">
        <f>MAX(P$2:$P3)</f>
        <v>1986.900024414062</v>
      </c>
      <c r="R3" s="9">
        <f t="shared" ref="R3:R18" si="1">P3/Q3-1</f>
        <v>0</v>
      </c>
      <c r="Z3" s="26">
        <v>37988</v>
      </c>
      <c r="AA3" s="27">
        <v>37.380000000000003</v>
      </c>
      <c r="AC3">
        <f>_xlfn.STDEV.S(AB3:AB261)</f>
        <v>0.25401083492978827</v>
      </c>
    </row>
    <row r="4" spans="1:30" x14ac:dyDescent="0.2">
      <c r="B4" s="9">
        <f>B3/A3-1</f>
        <v>0.19060039948302188</v>
      </c>
      <c r="C4" s="9">
        <f t="shared" ref="C4" si="2">C3/B3-1</f>
        <v>0.24663482414242299</v>
      </c>
      <c r="D4" s="9">
        <f t="shared" ref="D4" si="3">D3/C3-1</f>
        <v>0.16004876349703934</v>
      </c>
      <c r="E4" s="9">
        <f t="shared" ref="E4" si="4">E3/D3-1</f>
        <v>0.16400758826820971</v>
      </c>
      <c r="F4" s="9">
        <f t="shared" ref="F4" si="5">F3/E3-1</f>
        <v>0.23301050558109004</v>
      </c>
      <c r="G4" s="9">
        <f t="shared" ref="G4" si="6">G3/F3-1</f>
        <v>0.1619231464135944</v>
      </c>
      <c r="H4" s="9">
        <f t="shared" ref="H4" si="7">H3/G3-1</f>
        <v>5.2075064040134622E-2</v>
      </c>
      <c r="I4" s="9">
        <f t="shared" ref="I4" si="8">I3/H3-1</f>
        <v>5.7439790901736343E-2</v>
      </c>
      <c r="J4" s="9">
        <f t="shared" ref="J4" si="9">J3/I3-1</f>
        <v>0.25613524011299438</v>
      </c>
      <c r="K4" s="9">
        <f t="shared" ref="K4" si="10">K3/J3-1</f>
        <v>0.66115581479789642</v>
      </c>
      <c r="L4" s="9">
        <f t="shared" ref="L4" si="11">L3/K3-1</f>
        <v>0.18585646344601958</v>
      </c>
      <c r="N4">
        <v>204.47</v>
      </c>
      <c r="O4">
        <v>3</v>
      </c>
      <c r="P4" s="10">
        <v>1996.300048828125</v>
      </c>
      <c r="Q4" s="10">
        <f>MAX(P$2:$P4)</f>
        <v>1996.300048828125</v>
      </c>
      <c r="R4" s="9">
        <f t="shared" si="1"/>
        <v>0</v>
      </c>
      <c r="Z4" s="26">
        <v>37989</v>
      </c>
      <c r="AA4" s="27">
        <v>37.79</v>
      </c>
      <c r="AC4">
        <f>STDEV(AB3:AB261)</f>
        <v>0.25401083492978827</v>
      </c>
    </row>
    <row r="5" spans="1:30" x14ac:dyDescent="0.2">
      <c r="A5" s="12">
        <v>8768</v>
      </c>
      <c r="B5" s="12">
        <v>10703</v>
      </c>
      <c r="C5" s="12">
        <v>12821</v>
      </c>
      <c r="D5" s="12">
        <v>15317</v>
      </c>
      <c r="E5" s="12">
        <v>18561</v>
      </c>
      <c r="F5" s="12">
        <v>22446</v>
      </c>
      <c r="G5" s="12">
        <v>27296</v>
      </c>
      <c r="H5" s="12">
        <v>31857</v>
      </c>
      <c r="I5" s="12">
        <v>38151</v>
      </c>
      <c r="J5" s="12">
        <v>46149</v>
      </c>
      <c r="K5" s="12">
        <v>65446</v>
      </c>
      <c r="L5" s="12">
        <v>73440</v>
      </c>
      <c r="N5" s="10">
        <f>SUM(N2:N4)/3</f>
        <v>196.95666666666668</v>
      </c>
      <c r="O5">
        <v>4</v>
      </c>
      <c r="P5" s="10">
        <v>1995.5</v>
      </c>
      <c r="Q5" s="10">
        <f>MAX(P$2:$P5)</f>
        <v>1996.300048828125</v>
      </c>
      <c r="R5" s="9">
        <f t="shared" si="1"/>
        <v>-4.007658210470888E-4</v>
      </c>
      <c r="Z5" s="26">
        <v>37990</v>
      </c>
      <c r="AA5" s="27">
        <v>37.72</v>
      </c>
    </row>
    <row r="6" spans="1:30" x14ac:dyDescent="0.2">
      <c r="B6" s="9">
        <f>B5/A5-1</f>
        <v>0.22068886861313874</v>
      </c>
      <c r="C6" s="9">
        <f t="shared" ref="C6" si="12">C5/B5-1</f>
        <v>0.19788844249275894</v>
      </c>
      <c r="D6" s="9">
        <f t="shared" ref="D6" si="13">D5/C5-1</f>
        <v>0.1946806021371188</v>
      </c>
      <c r="E6" s="9">
        <f t="shared" ref="E6" si="14">E5/D5-1</f>
        <v>0.21179082065678667</v>
      </c>
      <c r="F6" s="9">
        <f t="shared" ref="F6" si="15">F5/E5-1</f>
        <v>0.20930984321965407</v>
      </c>
      <c r="G6" s="9">
        <f t="shared" ref="G6" si="16">G5/F5-1</f>
        <v>0.21607413347589777</v>
      </c>
      <c r="H6" s="9">
        <f t="shared" ref="H6" si="17">H5/G5-1</f>
        <v>0.16709407971863999</v>
      </c>
      <c r="I6" s="9">
        <f t="shared" ref="I6" si="18">I5/H5-1</f>
        <v>0.197570392692344</v>
      </c>
      <c r="J6" s="9">
        <f t="shared" ref="J6" si="19">J5/I5-1</f>
        <v>0.20964063851537307</v>
      </c>
      <c r="K6" s="9">
        <f t="shared" ref="K6" si="20">K5/J5-1</f>
        <v>0.41814557195172153</v>
      </c>
      <c r="L6" s="9">
        <f t="shared" ref="L6" si="21">L5/K5-1</f>
        <v>0.12214650246004344</v>
      </c>
      <c r="O6" s="11">
        <v>5</v>
      </c>
      <c r="P6" s="10">
        <v>1983</v>
      </c>
      <c r="Q6" s="10">
        <f>MAX(P$2:$P6)</f>
        <v>1996.300048828125</v>
      </c>
      <c r="R6" s="9">
        <f t="shared" si="1"/>
        <v>-6.6623495981640302E-3</v>
      </c>
      <c r="Z6" s="26">
        <v>37991</v>
      </c>
      <c r="AA6" s="27">
        <v>35.049999999999997</v>
      </c>
    </row>
    <row r="7" spans="1:30" x14ac:dyDescent="0.2">
      <c r="A7" s="9">
        <f t="shared" ref="A7:K7" si="22">A5/A3</f>
        <v>0.20603924333215839</v>
      </c>
      <c r="B7" s="9">
        <f t="shared" si="22"/>
        <v>0.21124620060790272</v>
      </c>
      <c r="C7" s="9">
        <f t="shared" si="22"/>
        <v>0.20298597257844908</v>
      </c>
      <c r="D7" s="9">
        <f t="shared" si="22"/>
        <v>0.20904587080836892</v>
      </c>
      <c r="E7" s="9">
        <f t="shared" si="22"/>
        <v>0.21762733327080011</v>
      </c>
      <c r="F7" s="9">
        <f t="shared" si="22"/>
        <v>0.21344414754519261</v>
      </c>
      <c r="G7" s="9">
        <f t="shared" si="22"/>
        <v>0.22339163099788034</v>
      </c>
      <c r="H7" s="9">
        <f t="shared" si="22"/>
        <v>0.2478141141328023</v>
      </c>
      <c r="I7" s="9">
        <f t="shared" si="22"/>
        <v>0.2806541313559322</v>
      </c>
      <c r="J7" s="9">
        <f t="shared" si="22"/>
        <v>0.27026599669700269</v>
      </c>
      <c r="K7" s="9">
        <f t="shared" si="22"/>
        <v>0.2307288232992184</v>
      </c>
      <c r="L7" s="9">
        <f>L5/L3</f>
        <v>0.21833295180561707</v>
      </c>
      <c r="O7">
        <v>6</v>
      </c>
      <c r="P7" s="10">
        <v>1983.699951171875</v>
      </c>
      <c r="Q7" s="10">
        <f>MAX(P$2:$P7)</f>
        <v>1996.300048828125</v>
      </c>
      <c r="R7" s="9">
        <f t="shared" si="1"/>
        <v>-6.3117253659571437E-3</v>
      </c>
      <c r="Z7" s="26">
        <v>37992</v>
      </c>
      <c r="AA7" s="27">
        <v>36.89</v>
      </c>
    </row>
    <row r="8" spans="1:30" x14ac:dyDescent="0.2">
      <c r="O8">
        <v>7</v>
      </c>
      <c r="P8" s="10">
        <v>2006.199951171875</v>
      </c>
      <c r="Q8" s="10">
        <f>MAX(P$2:$P8)</f>
        <v>2006.199951171875</v>
      </c>
      <c r="R8" s="9">
        <f t="shared" si="1"/>
        <v>0</v>
      </c>
      <c r="Z8" s="26">
        <v>37993</v>
      </c>
      <c r="AA8" s="27">
        <v>37.44</v>
      </c>
    </row>
    <row r="9" spans="1:30" x14ac:dyDescent="0.2">
      <c r="O9" s="11">
        <v>8</v>
      </c>
      <c r="P9" s="10">
        <v>2011.199951171875</v>
      </c>
      <c r="Q9" s="10">
        <f>MAX(P$2:$P9)</f>
        <v>2011.199951171875</v>
      </c>
      <c r="R9" s="9">
        <f t="shared" si="1"/>
        <v>0</v>
      </c>
      <c r="Z9" s="26">
        <v>37994</v>
      </c>
      <c r="AA9" s="27">
        <v>36.68</v>
      </c>
    </row>
    <row r="10" spans="1:30" x14ac:dyDescent="0.2">
      <c r="O10">
        <v>9</v>
      </c>
      <c r="P10" s="10">
        <v>2001.400024414062</v>
      </c>
      <c r="Q10" s="10">
        <f>MAX(P$2:$P10)</f>
        <v>2011.199951171875</v>
      </c>
      <c r="R10" s="9">
        <f t="shared" si="1"/>
        <v>-4.8726765094155855E-3</v>
      </c>
      <c r="Z10" s="26">
        <v>37995</v>
      </c>
      <c r="AA10" s="27">
        <v>40.11</v>
      </c>
    </row>
    <row r="11" spans="1:30" x14ac:dyDescent="0.2">
      <c r="O11">
        <v>10</v>
      </c>
      <c r="P11" s="10">
        <v>1987.400024414062</v>
      </c>
      <c r="Q11" s="10">
        <f>MAX(P$2:$P11)</f>
        <v>2011.199951171875</v>
      </c>
      <c r="R11" s="9">
        <f t="shared" si="1"/>
        <v>-1.1833694975949771E-2</v>
      </c>
      <c r="Z11" s="26">
        <v>37996</v>
      </c>
      <c r="AA11" s="27">
        <v>41.42</v>
      </c>
    </row>
    <row r="12" spans="1:30" x14ac:dyDescent="0.2">
      <c r="O12" s="11">
        <v>11</v>
      </c>
      <c r="P12" s="10">
        <v>1989.300048828125</v>
      </c>
      <c r="Q12" s="10">
        <f>MAX(P$2:$P12)</f>
        <v>2011.199951171875</v>
      </c>
      <c r="R12" s="9">
        <f t="shared" si="1"/>
        <v>-1.0888973187866968E-2</v>
      </c>
      <c r="Z12" s="26">
        <v>37997</v>
      </c>
      <c r="AA12" s="27">
        <v>49.56</v>
      </c>
    </row>
    <row r="13" spans="1:30" x14ac:dyDescent="0.2">
      <c r="O13">
        <v>12</v>
      </c>
      <c r="P13" s="10">
        <v>1987.099975585938</v>
      </c>
      <c r="Q13" s="10">
        <f>MAX(P$2:$P13)</f>
        <v>2011.199951171875</v>
      </c>
      <c r="R13" s="9">
        <f t="shared" si="1"/>
        <v>-1.1982883935480748E-2</v>
      </c>
      <c r="Z13" s="26">
        <v>37998</v>
      </c>
      <c r="AA13" s="27">
        <v>51.92</v>
      </c>
      <c r="AB13" s="21">
        <f>AA13/AA3-1</f>
        <v>0.38897806313536654</v>
      </c>
      <c r="AC13">
        <f>STDEV(AB133:AB261)</f>
        <v>0.15696755741776466</v>
      </c>
      <c r="AD13">
        <f>AVERAGE(AB133:AB261)</f>
        <v>0.18175552471640266</v>
      </c>
    </row>
    <row r="14" spans="1:30" x14ac:dyDescent="0.2">
      <c r="O14">
        <v>13</v>
      </c>
      <c r="P14" s="10">
        <v>1986</v>
      </c>
      <c r="Q14" s="10">
        <f>MAX(P$2:$P14)</f>
        <v>2011.199951171875</v>
      </c>
      <c r="R14" s="9">
        <f t="shared" si="1"/>
        <v>-1.2529808961655786E-2</v>
      </c>
      <c r="Z14" s="26">
        <v>38353</v>
      </c>
      <c r="AA14" s="27">
        <v>56.33</v>
      </c>
    </row>
    <row r="15" spans="1:30" x14ac:dyDescent="0.2">
      <c r="O15" s="11">
        <v>14</v>
      </c>
      <c r="P15" s="10">
        <v>2012.099975585938</v>
      </c>
      <c r="Q15" s="10">
        <f>MAX(P$2:$P15)</f>
        <v>2012.099975585938</v>
      </c>
      <c r="R15" s="9">
        <f t="shared" si="1"/>
        <v>0</v>
      </c>
      <c r="Z15" s="26">
        <v>38354</v>
      </c>
      <c r="AA15" s="27">
        <v>58.6</v>
      </c>
    </row>
    <row r="16" spans="1:30" x14ac:dyDescent="0.2">
      <c r="O16">
        <v>15</v>
      </c>
      <c r="P16" s="10">
        <v>2001.5</v>
      </c>
      <c r="Q16" s="10">
        <f>MAX(P$2:$P16)</f>
        <v>2012.099975585938</v>
      </c>
      <c r="R16" s="9">
        <f t="shared" si="1"/>
        <v>-5.2681157569475223E-3</v>
      </c>
      <c r="Z16" s="26">
        <v>38355</v>
      </c>
      <c r="AA16" s="27">
        <v>54.36</v>
      </c>
    </row>
    <row r="17" spans="15:28" x14ac:dyDescent="0.2">
      <c r="O17">
        <v>16</v>
      </c>
      <c r="P17" s="10">
        <v>2014.900024414062</v>
      </c>
      <c r="Q17" s="10">
        <f>MAX(P$2:$P17)</f>
        <v>2014.900024414062</v>
      </c>
      <c r="R17" s="9">
        <f t="shared" si="1"/>
        <v>0</v>
      </c>
      <c r="Z17" s="26">
        <v>38356</v>
      </c>
      <c r="AA17" s="27">
        <v>53.38</v>
      </c>
    </row>
    <row r="18" spans="15:28" x14ac:dyDescent="0.2">
      <c r="O18" s="11">
        <v>17</v>
      </c>
      <c r="P18" s="10">
        <v>1999.800048828125</v>
      </c>
      <c r="Q18" s="10">
        <f>MAX(P$2:$P18)</f>
        <v>2014.900024414062</v>
      </c>
      <c r="R18" s="9">
        <f t="shared" si="1"/>
        <v>-7.4941562375175907E-3</v>
      </c>
      <c r="Z18" s="26">
        <v>38357</v>
      </c>
      <c r="AA18" s="27">
        <v>53.84</v>
      </c>
    </row>
    <row r="19" spans="15:28" x14ac:dyDescent="0.2">
      <c r="O19">
        <v>18</v>
      </c>
      <c r="P19" s="10">
        <v>1958.652709960938</v>
      </c>
      <c r="Z19" s="26">
        <v>38358</v>
      </c>
      <c r="AA19" s="27">
        <v>63.46</v>
      </c>
    </row>
    <row r="20" spans="15:28" x14ac:dyDescent="0.2">
      <c r="O20">
        <v>19</v>
      </c>
      <c r="P20" s="10">
        <v>1939.562744140625</v>
      </c>
      <c r="Z20" s="26">
        <v>38359</v>
      </c>
      <c r="AA20" s="27">
        <v>69.790000000000006</v>
      </c>
    </row>
    <row r="21" spans="15:28" x14ac:dyDescent="0.2">
      <c r="O21" s="11">
        <v>20</v>
      </c>
      <c r="P21" s="10">
        <v>1927.19873046875</v>
      </c>
      <c r="Z21" s="26">
        <v>38360</v>
      </c>
      <c r="AA21" s="27">
        <v>63.88</v>
      </c>
    </row>
    <row r="22" spans="15:28" x14ac:dyDescent="0.2">
      <c r="O22">
        <v>21</v>
      </c>
      <c r="P22" s="10">
        <v>1943.3212890625</v>
      </c>
      <c r="Z22" s="26">
        <v>38361</v>
      </c>
      <c r="AA22" s="27">
        <v>68.36</v>
      </c>
    </row>
    <row r="23" spans="15:28" x14ac:dyDescent="0.2">
      <c r="O23">
        <v>22</v>
      </c>
      <c r="P23" s="10">
        <v>1914.241333007812</v>
      </c>
      <c r="Z23" s="26">
        <v>38362</v>
      </c>
      <c r="AA23" s="27">
        <v>60.53</v>
      </c>
    </row>
    <row r="24" spans="15:28" x14ac:dyDescent="0.2">
      <c r="O24" s="11">
        <v>23</v>
      </c>
      <c r="P24" s="10">
        <v>1912.856567382812</v>
      </c>
      <c r="Z24" s="26">
        <v>38363</v>
      </c>
      <c r="AA24" s="27">
        <v>68.540000000000006</v>
      </c>
    </row>
    <row r="25" spans="15:28" x14ac:dyDescent="0.2">
      <c r="O25">
        <v>24</v>
      </c>
      <c r="P25" s="10">
        <v>1908.603271484375</v>
      </c>
      <c r="Z25" s="26">
        <v>38364</v>
      </c>
      <c r="AA25" s="27">
        <v>70.72</v>
      </c>
      <c r="AB25">
        <f>AA25/AA14-1</f>
        <v>0.25545890289366247</v>
      </c>
    </row>
    <row r="26" spans="15:28" x14ac:dyDescent="0.2">
      <c r="O26">
        <v>25</v>
      </c>
      <c r="P26" s="10">
        <v>1914.340209960938</v>
      </c>
      <c r="Z26" s="26">
        <v>38718</v>
      </c>
      <c r="AA26" s="27">
        <v>76.08</v>
      </c>
    </row>
    <row r="27" spans="15:28" x14ac:dyDescent="0.2">
      <c r="O27" s="11">
        <v>26</v>
      </c>
      <c r="P27" s="10">
        <v>1896.73388671875</v>
      </c>
      <c r="Z27" s="26">
        <v>38719</v>
      </c>
      <c r="AA27" s="27">
        <v>73.55</v>
      </c>
    </row>
    <row r="28" spans="15:28" x14ac:dyDescent="0.2">
      <c r="O28">
        <v>27</v>
      </c>
      <c r="P28" s="10">
        <v>1922.253173828125</v>
      </c>
      <c r="Z28" s="26">
        <v>38720</v>
      </c>
      <c r="AA28" s="27">
        <v>77.25</v>
      </c>
    </row>
    <row r="29" spans="15:28" x14ac:dyDescent="0.2">
      <c r="O29">
        <v>28</v>
      </c>
      <c r="P29" s="10">
        <v>1929.177001953125</v>
      </c>
      <c r="Z29" s="26">
        <v>38721</v>
      </c>
      <c r="AA29" s="27">
        <v>82.4</v>
      </c>
    </row>
    <row r="30" spans="15:28" x14ac:dyDescent="0.2">
      <c r="O30" s="11">
        <v>29</v>
      </c>
      <c r="P30" s="10">
        <v>1943.914916992188</v>
      </c>
      <c r="Z30" s="26">
        <v>38722</v>
      </c>
      <c r="AA30" s="27">
        <v>74.349999999999994</v>
      </c>
    </row>
    <row r="31" spans="15:28" x14ac:dyDescent="0.2">
      <c r="O31">
        <v>30</v>
      </c>
      <c r="P31" s="10">
        <v>1957.366943359375</v>
      </c>
      <c r="Z31" s="26">
        <v>38723</v>
      </c>
      <c r="AA31" s="27">
        <v>79.42</v>
      </c>
    </row>
    <row r="32" spans="15:28" x14ac:dyDescent="0.2">
      <c r="O32">
        <v>31</v>
      </c>
      <c r="P32" s="10">
        <v>1957.1689453125</v>
      </c>
      <c r="Z32" s="26">
        <v>38724</v>
      </c>
      <c r="AA32" s="27">
        <v>79.319999999999993</v>
      </c>
    </row>
    <row r="33" spans="15:28" x14ac:dyDescent="0.2">
      <c r="O33" s="11">
        <v>32</v>
      </c>
      <c r="P33" s="10">
        <v>1928.385620117188</v>
      </c>
      <c r="Z33" s="26">
        <v>38725</v>
      </c>
      <c r="AA33" s="27">
        <v>85.02</v>
      </c>
    </row>
    <row r="34" spans="15:28" x14ac:dyDescent="0.2">
      <c r="O34">
        <v>33</v>
      </c>
      <c r="P34" s="10">
        <v>1920.077026367188</v>
      </c>
      <c r="Z34" s="26">
        <v>38726</v>
      </c>
      <c r="AA34" s="27">
        <v>92.33</v>
      </c>
    </row>
    <row r="35" spans="15:28" x14ac:dyDescent="0.2">
      <c r="O35">
        <v>34</v>
      </c>
      <c r="P35" s="10">
        <v>1903.65771484375</v>
      </c>
      <c r="Z35" s="26">
        <v>38727</v>
      </c>
      <c r="AA35" s="27">
        <v>100.24</v>
      </c>
    </row>
    <row r="36" spans="15:28" x14ac:dyDescent="0.2">
      <c r="O36" s="11">
        <v>35</v>
      </c>
      <c r="P36" s="10">
        <v>1911.076049804688</v>
      </c>
      <c r="Z36" s="26">
        <v>38728</v>
      </c>
      <c r="AA36" s="27">
        <v>111.93</v>
      </c>
    </row>
    <row r="37" spans="15:28" x14ac:dyDescent="0.2">
      <c r="O37">
        <v>36</v>
      </c>
      <c r="P37" s="10">
        <v>1923.73681640625</v>
      </c>
      <c r="Z37" s="26">
        <v>38729</v>
      </c>
      <c r="AA37" s="27">
        <v>106.56</v>
      </c>
      <c r="AB37">
        <f>AA37/AA26-1</f>
        <v>0.40063091482649837</v>
      </c>
    </row>
    <row r="38" spans="15:28" x14ac:dyDescent="0.2">
      <c r="O38">
        <v>37</v>
      </c>
      <c r="P38" s="10">
        <v>1906.526123046875</v>
      </c>
      <c r="Z38" s="26">
        <v>39083</v>
      </c>
      <c r="AA38" s="27">
        <v>107.62</v>
      </c>
    </row>
    <row r="39" spans="15:28" x14ac:dyDescent="0.2">
      <c r="O39" s="11">
        <v>38</v>
      </c>
      <c r="P39" s="10">
        <v>1902.569702148438</v>
      </c>
      <c r="Z39" s="26">
        <v>39084</v>
      </c>
      <c r="AA39" s="27">
        <v>93.29</v>
      </c>
    </row>
    <row r="40" spans="15:28" x14ac:dyDescent="0.2">
      <c r="O40">
        <v>39</v>
      </c>
      <c r="P40" s="10">
        <v>1905.339233398438</v>
      </c>
      <c r="Z40" s="26">
        <v>39085</v>
      </c>
      <c r="AA40" s="27">
        <v>95.2</v>
      </c>
    </row>
    <row r="41" spans="15:28" x14ac:dyDescent="0.2">
      <c r="O41">
        <v>40</v>
      </c>
      <c r="P41" s="10">
        <v>1919.087890625</v>
      </c>
      <c r="Z41" s="26">
        <v>39086</v>
      </c>
      <c r="AA41" s="27">
        <v>102.19</v>
      </c>
    </row>
    <row r="42" spans="15:28" x14ac:dyDescent="0.2">
      <c r="O42" s="11">
        <v>41</v>
      </c>
      <c r="P42" s="10">
        <v>1912.559814453125</v>
      </c>
      <c r="Z42" s="26">
        <v>39087</v>
      </c>
      <c r="AA42" s="27">
        <v>114.51</v>
      </c>
    </row>
    <row r="43" spans="15:28" x14ac:dyDescent="0.2">
      <c r="O43">
        <v>42</v>
      </c>
      <c r="P43" s="10">
        <v>1899.008911132812</v>
      </c>
      <c r="Z43" s="26">
        <v>39088</v>
      </c>
      <c r="AA43" s="27">
        <v>114.42</v>
      </c>
    </row>
    <row r="44" spans="15:28" x14ac:dyDescent="0.2">
      <c r="O44">
        <v>43</v>
      </c>
      <c r="P44" s="10">
        <v>1905.833862304688</v>
      </c>
      <c r="Z44" s="26">
        <v>39089</v>
      </c>
      <c r="AA44" s="27">
        <v>119.79</v>
      </c>
    </row>
    <row r="45" spans="15:28" x14ac:dyDescent="0.2">
      <c r="O45" s="11">
        <v>44</v>
      </c>
      <c r="P45" s="10">
        <v>1894.063354492188</v>
      </c>
      <c r="Z45" s="26">
        <v>39090</v>
      </c>
      <c r="AA45" s="27">
        <v>116.91</v>
      </c>
    </row>
    <row r="46" spans="15:28" x14ac:dyDescent="0.2">
      <c r="O46">
        <v>45</v>
      </c>
      <c r="P46" s="10">
        <v>1917.604248046875</v>
      </c>
      <c r="Z46" s="26">
        <v>39091</v>
      </c>
      <c r="AA46" s="27">
        <v>143.24</v>
      </c>
    </row>
    <row r="47" spans="15:28" x14ac:dyDescent="0.2">
      <c r="O47">
        <v>46</v>
      </c>
      <c r="P47" s="10">
        <v>1913.647827148438</v>
      </c>
      <c r="Z47" s="26">
        <v>39092</v>
      </c>
      <c r="AA47" s="27">
        <v>164.97</v>
      </c>
    </row>
    <row r="48" spans="15:28" x14ac:dyDescent="0.2">
      <c r="O48" s="11">
        <v>47</v>
      </c>
      <c r="P48" s="10">
        <v>1912.757690429688</v>
      </c>
      <c r="Z48" s="26">
        <v>39093</v>
      </c>
      <c r="AA48" s="27">
        <v>171.23</v>
      </c>
    </row>
    <row r="49" spans="15:28" x14ac:dyDescent="0.2">
      <c r="O49">
        <v>48</v>
      </c>
      <c r="P49" s="10">
        <v>1889.81005859375</v>
      </c>
      <c r="Z49" s="26">
        <v>39094</v>
      </c>
      <c r="AA49" s="27">
        <v>172.53</v>
      </c>
      <c r="AB49">
        <f>AA49/AA38-1</f>
        <v>0.60314068017097178</v>
      </c>
    </row>
    <row r="50" spans="15:28" x14ac:dyDescent="0.2">
      <c r="O50">
        <v>49</v>
      </c>
      <c r="P50" s="10">
        <v>1901.679443359375</v>
      </c>
      <c r="Z50" s="26">
        <v>39448</v>
      </c>
      <c r="AA50" s="27">
        <v>156.61000000000001</v>
      </c>
    </row>
    <row r="51" spans="15:28" x14ac:dyDescent="0.2">
      <c r="O51" s="11">
        <v>50</v>
      </c>
      <c r="P51" s="10">
        <v>1935.902954101562</v>
      </c>
      <c r="Z51" s="26">
        <v>39449</v>
      </c>
      <c r="AA51" s="27">
        <v>145.35</v>
      </c>
    </row>
    <row r="52" spans="15:28" x14ac:dyDescent="0.2">
      <c r="O52">
        <v>51</v>
      </c>
      <c r="P52" s="10">
        <v>1869.137451171875</v>
      </c>
      <c r="Z52" s="26">
        <v>39450</v>
      </c>
      <c r="AA52" s="27">
        <v>132.83000000000001</v>
      </c>
    </row>
    <row r="53" spans="15:28" x14ac:dyDescent="0.2">
      <c r="O53">
        <v>52</v>
      </c>
      <c r="P53" s="10">
        <v>1907.515258789062</v>
      </c>
      <c r="Z53" s="26">
        <v>39451</v>
      </c>
      <c r="AA53" s="27">
        <v>152.08000000000001</v>
      </c>
    </row>
    <row r="54" spans="15:28" x14ac:dyDescent="0.2">
      <c r="O54" s="11">
        <v>53</v>
      </c>
      <c r="P54" s="10">
        <v>1924.42919921875</v>
      </c>
      <c r="Z54" s="26">
        <v>39452</v>
      </c>
      <c r="AA54" s="27">
        <v>136.57</v>
      </c>
    </row>
    <row r="55" spans="15:28" x14ac:dyDescent="0.2">
      <c r="O55">
        <v>54</v>
      </c>
      <c r="P55" s="10">
        <v>1910.680419921875</v>
      </c>
      <c r="Z55" s="26">
        <v>39453</v>
      </c>
      <c r="AA55" s="27">
        <v>100.52</v>
      </c>
    </row>
    <row r="56" spans="15:28" x14ac:dyDescent="0.2">
      <c r="O56">
        <v>55</v>
      </c>
      <c r="P56" s="10">
        <v>1915.724975585938</v>
      </c>
      <c r="Z56" s="26">
        <v>39454</v>
      </c>
      <c r="AA56" s="27">
        <v>109.57</v>
      </c>
    </row>
    <row r="57" spans="15:28" x14ac:dyDescent="0.2">
      <c r="O57" s="11">
        <v>56</v>
      </c>
      <c r="P57" s="10">
        <v>1900.987182617188</v>
      </c>
      <c r="Z57" s="26">
        <v>39455</v>
      </c>
      <c r="AA57" s="27">
        <v>127.39</v>
      </c>
    </row>
    <row r="58" spans="15:28" x14ac:dyDescent="0.2">
      <c r="O58">
        <v>57</v>
      </c>
      <c r="P58" s="10">
        <v>1904.053344726562</v>
      </c>
      <c r="Z58" s="26">
        <v>39456</v>
      </c>
      <c r="AA58" s="27">
        <v>122.7</v>
      </c>
    </row>
    <row r="59" spans="15:28" x14ac:dyDescent="0.2">
      <c r="O59">
        <v>58</v>
      </c>
      <c r="P59" s="10">
        <v>1888.029663085938</v>
      </c>
      <c r="Z59" s="26">
        <v>39457</v>
      </c>
      <c r="AA59" s="27">
        <v>102.03</v>
      </c>
    </row>
    <row r="60" spans="15:28" x14ac:dyDescent="0.2">
      <c r="O60" s="11">
        <v>59</v>
      </c>
      <c r="P60" s="10">
        <v>1899.305541992188</v>
      </c>
      <c r="Z60" s="26">
        <v>39458</v>
      </c>
      <c r="AA60" s="27">
        <v>92.07</v>
      </c>
    </row>
    <row r="61" spans="15:28" x14ac:dyDescent="0.2">
      <c r="O61">
        <v>60</v>
      </c>
      <c r="P61" s="10">
        <v>1890.403442382812</v>
      </c>
      <c r="Z61" s="26">
        <v>39459</v>
      </c>
      <c r="AA61" s="27">
        <v>99.61</v>
      </c>
      <c r="AB61">
        <f>AA61/AA50-1</f>
        <v>-0.36396143285869365</v>
      </c>
    </row>
    <row r="62" spans="15:28" x14ac:dyDescent="0.2">
      <c r="O62">
        <v>61</v>
      </c>
      <c r="P62" s="10">
        <v>1895.942626953125</v>
      </c>
      <c r="Z62" s="26">
        <v>39814</v>
      </c>
      <c r="AA62" s="27">
        <v>92.35</v>
      </c>
    </row>
    <row r="63" spans="15:28" x14ac:dyDescent="0.2">
      <c r="O63" s="11">
        <v>62</v>
      </c>
      <c r="P63" s="10">
        <v>1902.96533203125</v>
      </c>
      <c r="Z63" s="26">
        <v>39815</v>
      </c>
      <c r="AA63" s="27">
        <v>88.75</v>
      </c>
    </row>
    <row r="64" spans="15:28" x14ac:dyDescent="0.2">
      <c r="O64">
        <v>63</v>
      </c>
      <c r="P64" s="10">
        <v>1940.35400390625</v>
      </c>
      <c r="Z64" s="26">
        <v>39816</v>
      </c>
      <c r="AA64" s="27">
        <v>97.12</v>
      </c>
    </row>
    <row r="65" spans="15:29" x14ac:dyDescent="0.2">
      <c r="O65">
        <v>64</v>
      </c>
      <c r="P65" s="10">
        <v>1906.130493164062</v>
      </c>
      <c r="Z65" s="26">
        <v>39817</v>
      </c>
      <c r="AA65" s="27">
        <v>109.79</v>
      </c>
    </row>
    <row r="66" spans="15:29" x14ac:dyDescent="0.2">
      <c r="O66" s="11">
        <v>65</v>
      </c>
      <c r="P66" s="10">
        <v>1885.952514648438</v>
      </c>
      <c r="Z66" s="26">
        <v>39818</v>
      </c>
      <c r="AA66" s="27">
        <v>144.13</v>
      </c>
    </row>
    <row r="67" spans="15:29" x14ac:dyDescent="0.2">
      <c r="O67">
        <v>66</v>
      </c>
      <c r="P67" s="10">
        <v>1857.564819335938</v>
      </c>
      <c r="Z67" s="26">
        <v>39819</v>
      </c>
      <c r="AA67" s="27">
        <v>148.97999999999999</v>
      </c>
    </row>
    <row r="68" spans="15:29" x14ac:dyDescent="0.2">
      <c r="O68">
        <v>67</v>
      </c>
      <c r="P68" s="10">
        <v>1844.607421875</v>
      </c>
      <c r="Z68" s="26">
        <v>39820</v>
      </c>
      <c r="AA68" s="27">
        <v>149.58000000000001</v>
      </c>
    </row>
    <row r="69" spans="15:29" x14ac:dyDescent="0.2">
      <c r="O69" s="11">
        <v>68</v>
      </c>
      <c r="P69" s="10">
        <v>1787.090087890625</v>
      </c>
      <c r="Z69" s="26">
        <v>39821</v>
      </c>
      <c r="AA69" s="27">
        <v>146.77000000000001</v>
      </c>
    </row>
    <row r="70" spans="15:29" x14ac:dyDescent="0.2">
      <c r="O70">
        <v>69</v>
      </c>
      <c r="P70" s="10">
        <v>1745.79443359375</v>
      </c>
      <c r="Z70" s="26">
        <v>39822</v>
      </c>
      <c r="AA70" s="27">
        <v>164.68</v>
      </c>
    </row>
    <row r="71" spans="15:29" x14ac:dyDescent="0.2">
      <c r="O71">
        <v>70</v>
      </c>
      <c r="P71" s="10">
        <v>1749.899291992188</v>
      </c>
      <c r="Z71" s="26">
        <v>39823</v>
      </c>
      <c r="AA71" s="27">
        <v>161.71</v>
      </c>
    </row>
    <row r="72" spans="15:29" x14ac:dyDescent="0.2">
      <c r="O72" s="11">
        <v>71</v>
      </c>
      <c r="P72" s="10">
        <v>1738.57373046875</v>
      </c>
      <c r="Z72" s="26">
        <v>39824</v>
      </c>
      <c r="AA72" s="27">
        <v>176.23</v>
      </c>
    </row>
    <row r="73" spans="15:29" x14ac:dyDescent="0.2">
      <c r="O73">
        <v>72</v>
      </c>
      <c r="P73" s="10">
        <v>1797.525390625</v>
      </c>
      <c r="Z73" s="26">
        <v>39825</v>
      </c>
      <c r="AA73" s="27">
        <v>169.85</v>
      </c>
      <c r="AB73">
        <f>AA73/AA62-1</f>
        <v>0.83919870059556034</v>
      </c>
      <c r="AC73">
        <f>STDEV(AB73:AB261)</f>
        <v>0.22483048361442312</v>
      </c>
    </row>
    <row r="74" spans="15:29" x14ac:dyDescent="0.2">
      <c r="O74">
        <v>73</v>
      </c>
      <c r="P74" s="10">
        <v>1775.319580078125</v>
      </c>
      <c r="Z74" s="26">
        <v>40179</v>
      </c>
      <c r="AA74" s="27">
        <v>162.74</v>
      </c>
    </row>
    <row r="75" spans="15:29" x14ac:dyDescent="0.2">
      <c r="O75" s="11">
        <v>74</v>
      </c>
      <c r="P75" s="10">
        <v>1777.347290039062</v>
      </c>
      <c r="Z75" s="26">
        <v>40180</v>
      </c>
      <c r="AA75" s="27">
        <v>170.1</v>
      </c>
    </row>
    <row r="76" spans="15:29" x14ac:dyDescent="0.2">
      <c r="O76">
        <v>75</v>
      </c>
      <c r="P76" s="10">
        <v>1748.613403320312</v>
      </c>
      <c r="Z76" s="26">
        <v>40181</v>
      </c>
      <c r="AA76" s="27">
        <v>192.92</v>
      </c>
    </row>
    <row r="77" spans="15:29" x14ac:dyDescent="0.2">
      <c r="O77">
        <v>76</v>
      </c>
      <c r="P77" s="10">
        <v>1808.306640625</v>
      </c>
      <c r="Z77" s="26">
        <v>40182</v>
      </c>
      <c r="AA77" s="27">
        <v>199.6</v>
      </c>
    </row>
    <row r="78" spans="15:29" x14ac:dyDescent="0.2">
      <c r="O78" s="11">
        <v>77</v>
      </c>
      <c r="P78" s="10">
        <v>1805.487670898438</v>
      </c>
      <c r="Z78" s="26">
        <v>40183</v>
      </c>
      <c r="AA78" s="27">
        <v>188.43</v>
      </c>
    </row>
    <row r="79" spans="15:29" x14ac:dyDescent="0.2">
      <c r="O79">
        <v>78</v>
      </c>
      <c r="P79" s="10">
        <v>1786.892333984375</v>
      </c>
      <c r="Z79" s="26">
        <v>40184</v>
      </c>
      <c r="AA79" s="27">
        <v>191.47</v>
      </c>
    </row>
    <row r="80" spans="15:29" x14ac:dyDescent="0.2">
      <c r="O80">
        <v>79</v>
      </c>
      <c r="P80" s="10">
        <v>1801.630126953125</v>
      </c>
      <c r="Z80" s="26">
        <v>40185</v>
      </c>
      <c r="AA80" s="27">
        <v>212.22</v>
      </c>
    </row>
    <row r="81" spans="15:28" x14ac:dyDescent="0.2">
      <c r="O81" s="11">
        <v>80</v>
      </c>
      <c r="P81" s="10">
        <v>1780.41357421875</v>
      </c>
      <c r="Z81" s="26">
        <v>40186</v>
      </c>
      <c r="AA81" s="27">
        <v>212.95</v>
      </c>
    </row>
    <row r="82" spans="15:28" x14ac:dyDescent="0.2">
      <c r="O82">
        <v>81</v>
      </c>
      <c r="P82" s="10">
        <v>1751.086181640625</v>
      </c>
      <c r="Z82" s="26">
        <v>40187</v>
      </c>
      <c r="AA82" s="27">
        <v>248.38</v>
      </c>
    </row>
    <row r="83" spans="15:28" x14ac:dyDescent="0.2">
      <c r="O83">
        <v>82</v>
      </c>
      <c r="P83" s="10">
        <v>1749.503540039062</v>
      </c>
      <c r="Z83" s="26">
        <v>40188</v>
      </c>
      <c r="AA83" s="27">
        <v>227.48</v>
      </c>
    </row>
    <row r="84" spans="15:28" x14ac:dyDescent="0.2">
      <c r="O84" s="11">
        <v>83</v>
      </c>
      <c r="P84" s="10">
        <v>1725.121826171875</v>
      </c>
      <c r="Z84" s="26">
        <v>40189</v>
      </c>
      <c r="AA84" s="27">
        <v>228.03</v>
      </c>
    </row>
    <row r="85" spans="15:28" x14ac:dyDescent="0.2">
      <c r="O85">
        <v>84</v>
      </c>
      <c r="P85" s="10">
        <v>1691.78857421875</v>
      </c>
      <c r="Z85" s="26">
        <v>40190</v>
      </c>
      <c r="AA85" s="27">
        <v>234.11</v>
      </c>
      <c r="AB85">
        <f>AA85/AA74-1</f>
        <v>0.4385522919995084</v>
      </c>
    </row>
    <row r="86" spans="15:28" x14ac:dyDescent="0.2">
      <c r="O86">
        <v>85</v>
      </c>
      <c r="P86" s="10">
        <v>1691.78857421875</v>
      </c>
      <c r="Z86" s="26">
        <v>40544</v>
      </c>
      <c r="AA86" s="27">
        <v>204.27</v>
      </c>
    </row>
    <row r="87" spans="15:28" x14ac:dyDescent="0.2">
      <c r="O87" s="11">
        <v>86</v>
      </c>
      <c r="P87" s="10">
        <v>1688.02978515625</v>
      </c>
      <c r="Z87" s="26">
        <v>40545</v>
      </c>
      <c r="AA87" s="27">
        <v>204.77</v>
      </c>
    </row>
    <row r="88" spans="15:28" x14ac:dyDescent="0.2">
      <c r="O88">
        <v>87</v>
      </c>
      <c r="P88" s="10">
        <v>1692.530395507812</v>
      </c>
      <c r="Z88" s="26">
        <v>40546</v>
      </c>
      <c r="AA88" s="27">
        <v>234.06</v>
      </c>
    </row>
    <row r="89" spans="15:28" x14ac:dyDescent="0.2">
      <c r="O89">
        <v>88</v>
      </c>
      <c r="P89" s="10">
        <v>1667.159423828125</v>
      </c>
      <c r="Z89" s="26">
        <v>40547</v>
      </c>
      <c r="AA89" s="27">
        <v>229.04</v>
      </c>
    </row>
    <row r="90" spans="15:28" x14ac:dyDescent="0.2">
      <c r="O90" s="11">
        <v>89</v>
      </c>
      <c r="P90" s="10">
        <v>1669.1376953125</v>
      </c>
      <c r="Z90" s="26">
        <v>40548</v>
      </c>
      <c r="AA90" s="27">
        <v>239.42</v>
      </c>
    </row>
    <row r="91" spans="15:28" x14ac:dyDescent="0.2">
      <c r="O91">
        <v>90</v>
      </c>
      <c r="P91" s="10">
        <v>1670.86865234375</v>
      </c>
      <c r="Z91" s="26">
        <v>40549</v>
      </c>
      <c r="AA91" s="27">
        <v>251</v>
      </c>
    </row>
    <row r="92" spans="15:28" x14ac:dyDescent="0.2">
      <c r="O92">
        <v>91</v>
      </c>
      <c r="P92" s="10">
        <v>1672.79736328125</v>
      </c>
      <c r="Z92" s="26">
        <v>40550</v>
      </c>
      <c r="AA92" s="27">
        <v>242.86</v>
      </c>
    </row>
    <row r="93" spans="15:28" x14ac:dyDescent="0.2">
      <c r="O93" s="11">
        <v>92</v>
      </c>
      <c r="P93" s="10">
        <v>1671.610473632812</v>
      </c>
      <c r="Z93" s="26">
        <v>40551</v>
      </c>
      <c r="AA93" s="27">
        <v>235.45</v>
      </c>
    </row>
    <row r="94" spans="15:28" x14ac:dyDescent="0.2">
      <c r="O94">
        <v>93</v>
      </c>
      <c r="P94" s="10">
        <v>1691.392822265625</v>
      </c>
      <c r="Z94" s="26">
        <v>40552</v>
      </c>
      <c r="AA94" s="27">
        <v>233.31</v>
      </c>
    </row>
    <row r="95" spans="15:28" x14ac:dyDescent="0.2">
      <c r="O95">
        <v>94</v>
      </c>
      <c r="P95" s="10">
        <v>1683.034912109375</v>
      </c>
      <c r="Z95" s="26">
        <v>40553</v>
      </c>
      <c r="AA95" s="27">
        <v>244.46</v>
      </c>
    </row>
    <row r="96" spans="15:28" x14ac:dyDescent="0.2">
      <c r="O96" s="11">
        <v>95</v>
      </c>
      <c r="P96" s="10">
        <v>1713.549194335938</v>
      </c>
      <c r="Z96" s="26">
        <v>40554</v>
      </c>
      <c r="AA96" s="27">
        <v>220.76</v>
      </c>
    </row>
    <row r="97" spans="15:28" x14ac:dyDescent="0.2">
      <c r="O97">
        <v>96</v>
      </c>
      <c r="P97" s="10">
        <v>1682.193969726562</v>
      </c>
      <c r="Z97" s="26">
        <v>40555</v>
      </c>
      <c r="AA97" s="27">
        <v>212.95</v>
      </c>
      <c r="AB97">
        <f>AA97/AA86-1</f>
        <v>4.2492779164830852E-2</v>
      </c>
    </row>
    <row r="98" spans="15:28" x14ac:dyDescent="0.2">
      <c r="O98">
        <v>97</v>
      </c>
      <c r="P98" s="10">
        <v>1664.043701171875</v>
      </c>
      <c r="Z98" s="26">
        <v>40909</v>
      </c>
      <c r="AA98" s="27">
        <v>245.5</v>
      </c>
    </row>
    <row r="99" spans="15:28" x14ac:dyDescent="0.2">
      <c r="O99" s="11">
        <v>98</v>
      </c>
      <c r="P99" s="10">
        <v>1658.850830078125</v>
      </c>
      <c r="Z99" s="26">
        <v>40910</v>
      </c>
      <c r="AA99" s="27">
        <v>257.98</v>
      </c>
    </row>
    <row r="100" spans="15:28" x14ac:dyDescent="0.2">
      <c r="O100">
        <v>99</v>
      </c>
      <c r="P100" s="10">
        <v>1674.083251953125</v>
      </c>
      <c r="Z100" s="26">
        <v>40911</v>
      </c>
      <c r="AA100" s="27">
        <v>259.35000000000002</v>
      </c>
    </row>
    <row r="101" spans="15:28" x14ac:dyDescent="0.2">
      <c r="O101">
        <v>100</v>
      </c>
      <c r="P101" s="10">
        <v>1668.742065429688</v>
      </c>
      <c r="Z101" s="26">
        <v>40912</v>
      </c>
      <c r="AA101" s="27">
        <v>270.64999999999998</v>
      </c>
    </row>
    <row r="102" spans="15:28" x14ac:dyDescent="0.2">
      <c r="O102" s="11">
        <v>101</v>
      </c>
      <c r="P102" s="10">
        <v>1708.405639648438</v>
      </c>
      <c r="Z102" s="26">
        <v>40913</v>
      </c>
      <c r="AA102" s="27">
        <v>252.54</v>
      </c>
    </row>
    <row r="103" spans="15:28" x14ac:dyDescent="0.2">
      <c r="O103">
        <v>102</v>
      </c>
      <c r="P103" s="10">
        <v>1704.300903320312</v>
      </c>
      <c r="Z103" s="26">
        <v>40914</v>
      </c>
      <c r="AA103" s="27">
        <v>281.14999999999998</v>
      </c>
    </row>
    <row r="104" spans="15:28" x14ac:dyDescent="0.2">
      <c r="O104">
        <v>103</v>
      </c>
      <c r="P104" s="10">
        <v>1698.662841796875</v>
      </c>
      <c r="Z104" s="26">
        <v>40915</v>
      </c>
      <c r="AA104" s="27">
        <v>293.22000000000003</v>
      </c>
    </row>
    <row r="105" spans="15:28" x14ac:dyDescent="0.2">
      <c r="O105" s="11">
        <v>104</v>
      </c>
      <c r="P105" s="10">
        <v>1676.40771484375</v>
      </c>
      <c r="Z105" s="26">
        <v>40916</v>
      </c>
      <c r="AA105" s="27">
        <v>297.01</v>
      </c>
    </row>
    <row r="106" spans="15:28" x14ac:dyDescent="0.2">
      <c r="O106">
        <v>105</v>
      </c>
      <c r="P106" s="10">
        <v>1679.226684570312</v>
      </c>
      <c r="Z106" s="26">
        <v>40917</v>
      </c>
      <c r="AA106" s="27">
        <v>313.88</v>
      </c>
    </row>
    <row r="107" spans="15:28" x14ac:dyDescent="0.2">
      <c r="O107">
        <v>106</v>
      </c>
      <c r="P107" s="10">
        <v>1688.227783203125</v>
      </c>
      <c r="Z107" s="26">
        <v>40918</v>
      </c>
      <c r="AA107" s="27">
        <v>316.39999999999998</v>
      </c>
    </row>
    <row r="108" spans="15:28" x14ac:dyDescent="0.2">
      <c r="O108" s="11">
        <v>107</v>
      </c>
      <c r="P108" s="10">
        <v>1682.886474609375</v>
      </c>
      <c r="Z108" s="26">
        <v>40919</v>
      </c>
      <c r="AA108" s="27">
        <v>351.19</v>
      </c>
    </row>
    <row r="109" spans="15:28" x14ac:dyDescent="0.2">
      <c r="O109">
        <v>108</v>
      </c>
      <c r="P109" s="10">
        <v>1697.080322265625</v>
      </c>
      <c r="Z109" s="26">
        <v>40920</v>
      </c>
      <c r="AA109" s="27">
        <v>338.55</v>
      </c>
      <c r="AB109">
        <f>AA109/AA98-1</f>
        <v>0.37902240325865577</v>
      </c>
    </row>
    <row r="110" spans="15:28" x14ac:dyDescent="0.2">
      <c r="O110">
        <v>109</v>
      </c>
      <c r="P110" s="10">
        <v>1713.895263671875</v>
      </c>
      <c r="Z110" s="26">
        <v>41275</v>
      </c>
      <c r="AA110" s="27">
        <v>320.81</v>
      </c>
    </row>
    <row r="111" spans="15:28" x14ac:dyDescent="0.2">
      <c r="O111" s="11">
        <v>110</v>
      </c>
      <c r="P111" s="10">
        <v>1724.87451171875</v>
      </c>
      <c r="Z111" s="26">
        <v>41276</v>
      </c>
      <c r="AA111" s="27">
        <v>311.98</v>
      </c>
    </row>
    <row r="112" spans="15:28" x14ac:dyDescent="0.2">
      <c r="O112">
        <v>111</v>
      </c>
      <c r="P112" s="10">
        <v>1718.890380859375</v>
      </c>
      <c r="Z112" s="26">
        <v>41277</v>
      </c>
      <c r="AA112" s="27">
        <v>311.98</v>
      </c>
    </row>
    <row r="113" spans="15:28" x14ac:dyDescent="0.2">
      <c r="O113">
        <v>112</v>
      </c>
      <c r="P113" s="10">
        <v>1702.17431640625</v>
      </c>
      <c r="Z113" s="26">
        <v>41278</v>
      </c>
      <c r="AA113" s="27">
        <v>340.39</v>
      </c>
    </row>
    <row r="114" spans="15:28" x14ac:dyDescent="0.2">
      <c r="O114" s="11">
        <v>113</v>
      </c>
      <c r="P114" s="10">
        <v>1659.741088867188</v>
      </c>
      <c r="Z114" s="26">
        <v>41279</v>
      </c>
      <c r="AA114" s="27">
        <v>349.47</v>
      </c>
    </row>
    <row r="115" spans="15:28" x14ac:dyDescent="0.2">
      <c r="O115">
        <v>114</v>
      </c>
      <c r="P115" s="10">
        <v>1672.550048828125</v>
      </c>
      <c r="Z115" s="26">
        <v>41280</v>
      </c>
      <c r="AA115" s="27">
        <v>334.01</v>
      </c>
    </row>
    <row r="116" spans="15:28" x14ac:dyDescent="0.2">
      <c r="O116">
        <v>115</v>
      </c>
      <c r="P116" s="10">
        <v>1680.265258789062</v>
      </c>
      <c r="Z116" s="26">
        <v>41281</v>
      </c>
      <c r="AA116" s="27">
        <v>304.2</v>
      </c>
    </row>
    <row r="117" spans="15:28" x14ac:dyDescent="0.2">
      <c r="O117" s="11">
        <v>116</v>
      </c>
      <c r="P117" s="10">
        <v>1673.094116210938</v>
      </c>
      <c r="Z117" s="26">
        <v>41282</v>
      </c>
      <c r="AA117" s="27">
        <v>296.33999999999997</v>
      </c>
    </row>
    <row r="118" spans="15:28" x14ac:dyDescent="0.2">
      <c r="O118">
        <v>117</v>
      </c>
      <c r="P118" s="10">
        <v>1659.048706054688</v>
      </c>
      <c r="Z118" s="26">
        <v>41283</v>
      </c>
      <c r="AA118" s="27">
        <v>295.87</v>
      </c>
    </row>
    <row r="119" spans="15:28" x14ac:dyDescent="0.2">
      <c r="O119">
        <v>118</v>
      </c>
      <c r="P119" s="10">
        <v>1652.223754882812</v>
      </c>
      <c r="Z119" s="26">
        <v>41284</v>
      </c>
      <c r="AA119" s="27">
        <v>339.64</v>
      </c>
    </row>
    <row r="120" spans="15:28" x14ac:dyDescent="0.2">
      <c r="O120" s="11">
        <v>119</v>
      </c>
      <c r="P120" s="10">
        <v>1612.065551757812</v>
      </c>
      <c r="Z120" s="26">
        <v>41285</v>
      </c>
      <c r="AA120" s="27">
        <v>329.92</v>
      </c>
    </row>
    <row r="121" spans="15:28" x14ac:dyDescent="0.2">
      <c r="O121">
        <v>120</v>
      </c>
      <c r="P121" s="10">
        <v>1631.848022460938</v>
      </c>
      <c r="Z121" s="26">
        <v>41286</v>
      </c>
      <c r="AA121" s="27">
        <v>332.19</v>
      </c>
      <c r="AB121">
        <f>AA121/AA110-1</f>
        <v>3.5472709703562755E-2</v>
      </c>
    </row>
    <row r="122" spans="15:28" x14ac:dyDescent="0.2">
      <c r="O122">
        <v>121</v>
      </c>
      <c r="P122" s="10">
        <v>1646.78369140625</v>
      </c>
      <c r="Z122" s="26">
        <v>41640</v>
      </c>
      <c r="AA122" s="27">
        <v>313.55</v>
      </c>
    </row>
    <row r="123" spans="15:28" x14ac:dyDescent="0.2">
      <c r="O123" s="11">
        <v>122</v>
      </c>
      <c r="P123" s="10">
        <v>1647.921142578125</v>
      </c>
      <c r="Z123" s="26">
        <v>41641</v>
      </c>
      <c r="AA123" s="27">
        <v>334.06</v>
      </c>
    </row>
    <row r="124" spans="15:28" x14ac:dyDescent="0.2">
      <c r="O124">
        <v>123</v>
      </c>
      <c r="P124" s="10">
        <v>1624.528442382812</v>
      </c>
      <c r="Z124" s="26">
        <v>41642</v>
      </c>
      <c r="AA124" s="27">
        <v>373.57</v>
      </c>
    </row>
    <row r="125" spans="15:28" x14ac:dyDescent="0.2">
      <c r="O125">
        <v>124</v>
      </c>
      <c r="P125" s="10">
        <v>1633.282104492188</v>
      </c>
      <c r="Z125" s="26">
        <v>41643</v>
      </c>
      <c r="AA125" s="27">
        <v>359.85</v>
      </c>
    </row>
    <row r="126" spans="15:28" x14ac:dyDescent="0.2">
      <c r="O126" s="11">
        <v>125</v>
      </c>
      <c r="P126" s="10">
        <v>1618.93994140625</v>
      </c>
      <c r="Z126" s="26">
        <v>41644</v>
      </c>
      <c r="AA126" s="27">
        <v>395.49</v>
      </c>
    </row>
    <row r="127" spans="15:28" x14ac:dyDescent="0.2">
      <c r="O127">
        <v>126</v>
      </c>
      <c r="P127" s="10">
        <v>1634.073486328125</v>
      </c>
      <c r="Z127" s="26">
        <v>41645</v>
      </c>
      <c r="AA127" s="27">
        <v>409.86</v>
      </c>
    </row>
    <row r="128" spans="15:28" x14ac:dyDescent="0.2">
      <c r="O128">
        <v>127</v>
      </c>
      <c r="P128" s="10">
        <v>1625.17138671875</v>
      </c>
      <c r="Z128" s="26">
        <v>41646</v>
      </c>
      <c r="AA128" s="27">
        <v>416.07</v>
      </c>
    </row>
    <row r="129" spans="15:28" x14ac:dyDescent="0.2">
      <c r="O129" s="11">
        <v>128</v>
      </c>
      <c r="P129" s="10">
        <v>1628.682739257812</v>
      </c>
      <c r="Z129" s="26">
        <v>41647</v>
      </c>
      <c r="AA129" s="27">
        <v>420.84</v>
      </c>
    </row>
    <row r="130" spans="15:28" x14ac:dyDescent="0.2">
      <c r="O130">
        <v>129</v>
      </c>
      <c r="P130" s="10">
        <v>1613.104125976562</v>
      </c>
      <c r="Z130" s="26">
        <v>41648</v>
      </c>
      <c r="AA130" s="27">
        <v>435.36</v>
      </c>
    </row>
    <row r="131" spans="15:28" x14ac:dyDescent="0.2">
      <c r="O131">
        <v>130</v>
      </c>
      <c r="P131" s="10">
        <v>1638.722290039062</v>
      </c>
      <c r="Z131" s="26">
        <v>41649</v>
      </c>
      <c r="AA131" s="27">
        <v>454.91</v>
      </c>
    </row>
    <row r="132" spans="15:28" x14ac:dyDescent="0.2">
      <c r="O132" s="11">
        <v>131</v>
      </c>
      <c r="P132" s="10">
        <v>1649.652099609375</v>
      </c>
      <c r="Z132" s="26">
        <v>41650</v>
      </c>
      <c r="AA132" s="27">
        <v>477.51</v>
      </c>
    </row>
    <row r="133" spans="15:28" x14ac:dyDescent="0.2">
      <c r="O133">
        <v>132</v>
      </c>
      <c r="P133" s="10">
        <v>1675.86376953125</v>
      </c>
      <c r="Z133" s="26">
        <v>41651</v>
      </c>
      <c r="AA133" s="27">
        <v>474.74</v>
      </c>
      <c r="AB133">
        <f>AA133/AA122-1</f>
        <v>0.5140806888853453</v>
      </c>
    </row>
    <row r="134" spans="15:28" x14ac:dyDescent="0.2">
      <c r="O134">
        <v>133</v>
      </c>
      <c r="P134" s="10">
        <v>1694.755859375</v>
      </c>
      <c r="Z134" s="26">
        <v>42005</v>
      </c>
      <c r="AA134" s="27">
        <v>537.48</v>
      </c>
    </row>
    <row r="135" spans="15:28" x14ac:dyDescent="0.2">
      <c r="O135" s="11">
        <v>134</v>
      </c>
      <c r="P135" s="10">
        <v>1691.887451171875</v>
      </c>
      <c r="Z135" s="26">
        <v>42006</v>
      </c>
      <c r="AA135" s="27">
        <v>534.41</v>
      </c>
    </row>
    <row r="136" spans="15:28" x14ac:dyDescent="0.2">
      <c r="O136">
        <v>135</v>
      </c>
      <c r="P136" s="10">
        <v>1730.166259765625</v>
      </c>
      <c r="Z136" s="26">
        <v>42007</v>
      </c>
      <c r="AA136" s="27">
        <v>510.21</v>
      </c>
    </row>
    <row r="137" spans="15:28" x14ac:dyDescent="0.2">
      <c r="O137">
        <v>136</v>
      </c>
      <c r="P137" s="10">
        <v>1774.231567382812</v>
      </c>
      <c r="Z137" s="26">
        <v>42008</v>
      </c>
      <c r="AA137" s="27">
        <v>493.3</v>
      </c>
    </row>
    <row r="138" spans="15:28" x14ac:dyDescent="0.2">
      <c r="O138" s="11">
        <v>137</v>
      </c>
      <c r="P138" s="10">
        <v>1763.351196289062</v>
      </c>
      <c r="Z138" s="26">
        <v>42009</v>
      </c>
      <c r="AA138" s="27">
        <v>524.11</v>
      </c>
    </row>
    <row r="139" spans="15:28" x14ac:dyDescent="0.2">
      <c r="O139">
        <v>138</v>
      </c>
      <c r="P139" s="10">
        <v>1753.558959960938</v>
      </c>
      <c r="Z139" s="26">
        <v>42010</v>
      </c>
      <c r="AA139" s="27">
        <v>532.39</v>
      </c>
    </row>
    <row r="140" spans="15:28" x14ac:dyDescent="0.2">
      <c r="O140">
        <v>139</v>
      </c>
      <c r="P140" s="10">
        <v>1758.554077148438</v>
      </c>
      <c r="Z140" s="26">
        <v>42011</v>
      </c>
      <c r="AA140" s="27">
        <v>554.59</v>
      </c>
    </row>
    <row r="141" spans="15:28" x14ac:dyDescent="0.2">
      <c r="O141" s="11">
        <v>140</v>
      </c>
      <c r="P141" s="10">
        <v>1778.6826171875</v>
      </c>
      <c r="Z141" s="26">
        <v>42012</v>
      </c>
      <c r="AA141" s="27">
        <v>512.58000000000004</v>
      </c>
    </row>
    <row r="142" spans="15:28" x14ac:dyDescent="0.2">
      <c r="O142">
        <v>141</v>
      </c>
      <c r="P142" s="10">
        <v>1771.26416015625</v>
      </c>
      <c r="Z142" s="26">
        <v>42013</v>
      </c>
      <c r="AA142" s="27">
        <v>533.21</v>
      </c>
    </row>
    <row r="143" spans="15:28" x14ac:dyDescent="0.2">
      <c r="O143">
        <v>142</v>
      </c>
      <c r="P143" s="10">
        <v>1778.5341796875</v>
      </c>
      <c r="Z143" s="26">
        <v>42014</v>
      </c>
      <c r="AA143" s="27">
        <v>548.58000000000004</v>
      </c>
    </row>
    <row r="144" spans="15:28" x14ac:dyDescent="0.2">
      <c r="O144" s="11">
        <v>143</v>
      </c>
      <c r="P144" s="10">
        <v>1781.402709960938</v>
      </c>
      <c r="Z144" s="26">
        <v>42015</v>
      </c>
      <c r="AA144" s="27">
        <v>537.67999999999995</v>
      </c>
    </row>
    <row r="145" spans="15:28" x14ac:dyDescent="0.2">
      <c r="O145">
        <v>144</v>
      </c>
      <c r="P145" s="10">
        <v>1752.2236328125</v>
      </c>
      <c r="Z145" s="26">
        <v>42016</v>
      </c>
      <c r="AA145" s="27">
        <v>539.87</v>
      </c>
      <c r="AB145">
        <f>AA145/AA134-1</f>
        <v>4.4466770856590454E-3</v>
      </c>
    </row>
    <row r="146" spans="15:28" x14ac:dyDescent="0.2">
      <c r="O146">
        <v>145</v>
      </c>
      <c r="P146" s="10">
        <v>1773.984252929688</v>
      </c>
      <c r="Z146" s="26">
        <v>42370</v>
      </c>
      <c r="AA146" s="27">
        <v>523.76</v>
      </c>
    </row>
    <row r="147" spans="15:28" x14ac:dyDescent="0.2">
      <c r="O147" s="11">
        <v>146</v>
      </c>
      <c r="P147" s="10">
        <v>1790.9970703125</v>
      </c>
      <c r="Z147" s="26">
        <v>42371</v>
      </c>
      <c r="AA147" s="27">
        <v>484.85</v>
      </c>
    </row>
    <row r="148" spans="15:28" x14ac:dyDescent="0.2">
      <c r="O148">
        <v>147</v>
      </c>
      <c r="P148" s="10">
        <v>1813.3017578125</v>
      </c>
      <c r="Z148" s="26">
        <v>42372</v>
      </c>
      <c r="AA148" s="27">
        <v>534.39</v>
      </c>
    </row>
    <row r="149" spans="15:28" x14ac:dyDescent="0.2">
      <c r="O149">
        <v>148</v>
      </c>
      <c r="P149" s="10">
        <v>1844.904052734375</v>
      </c>
      <c r="Z149" s="26">
        <v>42373</v>
      </c>
      <c r="AA149" s="27">
        <v>564.91999999999996</v>
      </c>
    </row>
    <row r="150" spans="15:28" x14ac:dyDescent="0.2">
      <c r="O150" s="11">
        <v>149</v>
      </c>
      <c r="P150" s="10">
        <v>1851.3828125</v>
      </c>
      <c r="Z150" s="26">
        <v>42374</v>
      </c>
      <c r="AA150" s="27">
        <v>589.64</v>
      </c>
    </row>
    <row r="151" spans="15:28" x14ac:dyDescent="0.2">
      <c r="O151">
        <v>150</v>
      </c>
      <c r="P151" s="10">
        <v>1839.018798828125</v>
      </c>
      <c r="Z151" s="26">
        <v>42375</v>
      </c>
      <c r="AA151" s="27">
        <v>586.91999999999996</v>
      </c>
    </row>
    <row r="152" spans="15:28" x14ac:dyDescent="0.2">
      <c r="O152">
        <v>151</v>
      </c>
      <c r="P152" s="10">
        <v>1842.826904296875</v>
      </c>
      <c r="Z152" s="26">
        <v>42376</v>
      </c>
      <c r="AA152" s="27">
        <v>621.72</v>
      </c>
    </row>
    <row r="153" spans="15:28" x14ac:dyDescent="0.2">
      <c r="O153" s="11">
        <v>152</v>
      </c>
      <c r="P153" s="10">
        <v>1847.7724609375</v>
      </c>
      <c r="Z153" s="26">
        <v>42377</v>
      </c>
      <c r="AA153" s="27">
        <v>644.16999999999996</v>
      </c>
    </row>
    <row r="154" spans="15:28" x14ac:dyDescent="0.2">
      <c r="O154">
        <v>153</v>
      </c>
      <c r="P154" s="10">
        <v>1849.65185546875</v>
      </c>
      <c r="Z154" s="26">
        <v>42378</v>
      </c>
      <c r="AA154" s="27">
        <v>635.01</v>
      </c>
    </row>
    <row r="155" spans="15:28" x14ac:dyDescent="0.2">
      <c r="O155">
        <v>154</v>
      </c>
      <c r="P155" s="10">
        <v>1835.65576171875</v>
      </c>
      <c r="Z155" s="26">
        <v>42379</v>
      </c>
      <c r="AA155" s="27">
        <v>625.26</v>
      </c>
    </row>
    <row r="156" spans="15:28" x14ac:dyDescent="0.2">
      <c r="O156" s="11">
        <v>155</v>
      </c>
      <c r="P156" s="10">
        <v>1845.448120117188</v>
      </c>
      <c r="Z156" s="26">
        <v>42380</v>
      </c>
      <c r="AA156" s="27">
        <v>598.47</v>
      </c>
    </row>
    <row r="157" spans="15:28" x14ac:dyDescent="0.2">
      <c r="O157">
        <v>156</v>
      </c>
      <c r="P157" s="10">
        <v>1839.859497070312</v>
      </c>
      <c r="Z157" s="26">
        <v>42381</v>
      </c>
      <c r="AA157" s="27">
        <v>601.76</v>
      </c>
      <c r="AB157">
        <f>AA157/AA146-1</f>
        <v>0.14892317091797769</v>
      </c>
    </row>
    <row r="158" spans="15:28" x14ac:dyDescent="0.2">
      <c r="O158">
        <v>157</v>
      </c>
      <c r="P158" s="10">
        <v>1806.427368164062</v>
      </c>
      <c r="Z158" s="26">
        <v>42736</v>
      </c>
      <c r="AA158" s="27">
        <v>641.9</v>
      </c>
    </row>
    <row r="159" spans="15:28" x14ac:dyDescent="0.2">
      <c r="O159" s="11">
        <v>158</v>
      </c>
      <c r="P159" s="10">
        <v>1785.062377929688</v>
      </c>
      <c r="Z159" s="26">
        <v>42737</v>
      </c>
      <c r="AA159" s="27">
        <v>693.51</v>
      </c>
    </row>
    <row r="160" spans="15:28" x14ac:dyDescent="0.2">
      <c r="O160">
        <v>159</v>
      </c>
      <c r="P160" s="10">
        <v>1776.506591796875</v>
      </c>
      <c r="Z160" s="26">
        <v>42738</v>
      </c>
      <c r="AA160" s="27">
        <v>719.67</v>
      </c>
    </row>
    <row r="161" spans="15:29" x14ac:dyDescent="0.2">
      <c r="O161">
        <v>160</v>
      </c>
      <c r="P161" s="10">
        <v>1773.638061523438</v>
      </c>
      <c r="Z161" s="26">
        <v>42739</v>
      </c>
      <c r="AA161" s="27">
        <v>771.53</v>
      </c>
    </row>
    <row r="162" spans="15:29" x14ac:dyDescent="0.2">
      <c r="O162" s="11">
        <v>161</v>
      </c>
      <c r="P162" s="10">
        <v>1792.579711914062</v>
      </c>
      <c r="Z162" s="26">
        <v>42740</v>
      </c>
      <c r="AA162" s="27">
        <v>816.28</v>
      </c>
    </row>
    <row r="163" spans="15:29" x14ac:dyDescent="0.2">
      <c r="O163">
        <v>162</v>
      </c>
      <c r="P163" s="10">
        <v>1766.120849609375</v>
      </c>
      <c r="Z163" s="26">
        <v>42741</v>
      </c>
      <c r="AA163" s="27">
        <v>824.19</v>
      </c>
    </row>
    <row r="164" spans="15:29" x14ac:dyDescent="0.2">
      <c r="O164">
        <v>163</v>
      </c>
      <c r="P164" s="10">
        <v>1766.170166015625</v>
      </c>
      <c r="Z164" s="26">
        <v>42742</v>
      </c>
      <c r="AA164" s="27">
        <v>890.22</v>
      </c>
    </row>
    <row r="165" spans="15:29" x14ac:dyDescent="0.2">
      <c r="O165" s="11">
        <v>164</v>
      </c>
      <c r="P165" s="10">
        <v>1726.60546875</v>
      </c>
      <c r="Z165" s="26">
        <v>42743</v>
      </c>
      <c r="AA165" s="27">
        <v>886.25</v>
      </c>
    </row>
    <row r="166" spans="15:29" x14ac:dyDescent="0.2">
      <c r="O166">
        <v>165</v>
      </c>
      <c r="P166" s="10">
        <v>1722.253295898438</v>
      </c>
      <c r="Z166" s="26">
        <v>42744</v>
      </c>
      <c r="AA166" s="27">
        <v>900.84</v>
      </c>
    </row>
    <row r="167" spans="15:29" x14ac:dyDescent="0.2">
      <c r="O167">
        <v>166</v>
      </c>
      <c r="P167" s="10">
        <v>1723.2919921875</v>
      </c>
      <c r="Z167" s="26">
        <v>42745</v>
      </c>
      <c r="AA167" s="27">
        <v>902.24</v>
      </c>
    </row>
    <row r="168" spans="15:29" x14ac:dyDescent="0.2">
      <c r="O168" s="11">
        <v>167</v>
      </c>
      <c r="P168" s="10">
        <v>1686.546142578125</v>
      </c>
      <c r="Z168" s="26">
        <v>42746</v>
      </c>
      <c r="AA168" s="27">
        <v>924.79</v>
      </c>
    </row>
    <row r="169" spans="15:29" x14ac:dyDescent="0.2">
      <c r="O169">
        <v>168</v>
      </c>
      <c r="P169" s="10">
        <v>1674.33056640625</v>
      </c>
      <c r="Z169" s="26">
        <v>42747</v>
      </c>
      <c r="AA169" s="27">
        <v>934.12</v>
      </c>
      <c r="AB169">
        <f>AA169/AA158-1</f>
        <v>0.45524224957158443</v>
      </c>
      <c r="AC169">
        <f>STDEV(AB169:AB261)</f>
        <v>0.12570390819420604</v>
      </c>
    </row>
    <row r="170" spans="15:29" x14ac:dyDescent="0.2">
      <c r="O170">
        <v>169</v>
      </c>
      <c r="P170" s="10">
        <v>1663.054565429688</v>
      </c>
      <c r="Z170" s="26">
        <v>43101</v>
      </c>
      <c r="AA170" s="28">
        <v>1000.62</v>
      </c>
    </row>
    <row r="171" spans="15:29" x14ac:dyDescent="0.2">
      <c r="O171" s="11">
        <v>170</v>
      </c>
      <c r="P171" s="10">
        <v>1699.503540039062</v>
      </c>
      <c r="Z171" s="26">
        <v>43102</v>
      </c>
      <c r="AA171" s="27">
        <v>940.01</v>
      </c>
    </row>
    <row r="172" spans="15:29" x14ac:dyDescent="0.2">
      <c r="O172">
        <v>171</v>
      </c>
      <c r="P172" s="10">
        <v>1747.080322265625</v>
      </c>
      <c r="Z172" s="26">
        <v>43103</v>
      </c>
      <c r="AA172" s="27">
        <v>940.96</v>
      </c>
    </row>
    <row r="173" spans="15:29" x14ac:dyDescent="0.2">
      <c r="O173">
        <v>172</v>
      </c>
      <c r="P173" s="10">
        <v>1735.359130859375</v>
      </c>
      <c r="Z173" s="26">
        <v>43104</v>
      </c>
      <c r="AA173" s="27">
        <v>969.99</v>
      </c>
    </row>
    <row r="174" spans="15:29" x14ac:dyDescent="0.2">
      <c r="O174" s="11">
        <v>173</v>
      </c>
      <c r="P174" s="10">
        <v>1727.545166015625</v>
      </c>
      <c r="Z174" s="26">
        <v>43105</v>
      </c>
      <c r="AA174" s="28">
        <v>1067.3499999999999</v>
      </c>
    </row>
    <row r="175" spans="15:29" x14ac:dyDescent="0.2">
      <c r="O175">
        <v>174</v>
      </c>
      <c r="P175" s="10">
        <v>1736.150512695312</v>
      </c>
      <c r="Z175" s="26">
        <v>43106</v>
      </c>
      <c r="AA175" s="28">
        <v>1051.8800000000001</v>
      </c>
    </row>
    <row r="176" spans="15:29" x14ac:dyDescent="0.2">
      <c r="O176">
        <v>175</v>
      </c>
      <c r="P176" s="10">
        <v>1738.72216796875</v>
      </c>
      <c r="Z176" s="26">
        <v>43107</v>
      </c>
      <c r="AA176" s="28">
        <v>1087.33</v>
      </c>
    </row>
    <row r="177" spans="15:29" x14ac:dyDescent="0.2">
      <c r="O177" s="11">
        <v>176</v>
      </c>
      <c r="P177" s="10">
        <v>1695.4482421875</v>
      </c>
      <c r="Z177" s="26">
        <v>43108</v>
      </c>
      <c r="AA177" s="28">
        <v>1028.31</v>
      </c>
    </row>
    <row r="178" spans="15:29" x14ac:dyDescent="0.2">
      <c r="O178">
        <v>177</v>
      </c>
      <c r="P178" s="10">
        <v>1718.395874023438</v>
      </c>
      <c r="Z178" s="26">
        <v>43109</v>
      </c>
      <c r="AA178" s="28">
        <v>1000.8</v>
      </c>
    </row>
    <row r="179" spans="15:29" x14ac:dyDescent="0.2">
      <c r="O179">
        <v>178</v>
      </c>
      <c r="P179" s="10">
        <v>1716.813110351562</v>
      </c>
      <c r="Z179" s="26">
        <v>43110</v>
      </c>
      <c r="AA179" s="27">
        <v>953.75</v>
      </c>
    </row>
    <row r="180" spans="15:29" x14ac:dyDescent="0.2">
      <c r="O180" s="11">
        <v>179</v>
      </c>
      <c r="P180" s="10">
        <v>1715.725219726562</v>
      </c>
      <c r="Z180" s="26">
        <v>43111</v>
      </c>
      <c r="AA180" s="28">
        <v>1061.8599999999999</v>
      </c>
    </row>
    <row r="181" spans="15:29" x14ac:dyDescent="0.2">
      <c r="O181">
        <v>180</v>
      </c>
      <c r="P181" s="10">
        <v>1732.787475585938</v>
      </c>
      <c r="Z181" s="26">
        <v>43112</v>
      </c>
      <c r="AA181" s="28">
        <v>1058.49</v>
      </c>
      <c r="AB181">
        <f>AA181/AA170-1</f>
        <v>5.7834142831444613E-2</v>
      </c>
      <c r="AC181">
        <f>STDEV(AB181:AB261)</f>
        <v>6.9391383733287598E-2</v>
      </c>
    </row>
    <row r="182" spans="15:29" x14ac:dyDescent="0.2">
      <c r="O182">
        <v>181</v>
      </c>
      <c r="P182" s="10">
        <v>1715.329467773438</v>
      </c>
      <c r="Z182" s="26">
        <v>43466</v>
      </c>
      <c r="AA182" s="28">
        <v>1037.67</v>
      </c>
    </row>
    <row r="183" spans="15:29" x14ac:dyDescent="0.2">
      <c r="O183" s="11">
        <v>182</v>
      </c>
      <c r="P183" s="10">
        <v>1724.429443359375</v>
      </c>
      <c r="Z183" s="26">
        <v>43467</v>
      </c>
      <c r="AA183" s="28">
        <v>1036.47</v>
      </c>
    </row>
    <row r="184" spans="15:29" x14ac:dyDescent="0.2">
      <c r="O184">
        <v>183</v>
      </c>
      <c r="P184" s="10">
        <v>1730.611450195312</v>
      </c>
      <c r="Z184" s="26">
        <v>43468</v>
      </c>
      <c r="AA184" s="28">
        <v>1156.8699999999999</v>
      </c>
    </row>
    <row r="185" spans="15:29" x14ac:dyDescent="0.2">
      <c r="O185">
        <v>184</v>
      </c>
      <c r="P185" s="10">
        <v>1716.912231445312</v>
      </c>
      <c r="Z185" s="26">
        <v>43469</v>
      </c>
      <c r="AA185" s="28">
        <v>1156.1500000000001</v>
      </c>
    </row>
    <row r="186" spans="15:29" x14ac:dyDescent="0.2">
      <c r="O186" s="11">
        <v>185</v>
      </c>
      <c r="P186" s="10">
        <v>1695.893432617188</v>
      </c>
      <c r="Z186" s="26">
        <v>43470</v>
      </c>
      <c r="AA186" s="28">
        <v>1209.98</v>
      </c>
    </row>
    <row r="187" spans="15:29" x14ac:dyDescent="0.2">
      <c r="O187">
        <v>186</v>
      </c>
      <c r="P187" s="10">
        <v>1709.889282226562</v>
      </c>
      <c r="Z187" s="26">
        <v>43471</v>
      </c>
      <c r="AA187" s="28">
        <v>1219.1600000000001</v>
      </c>
    </row>
    <row r="188" spans="15:29" x14ac:dyDescent="0.2">
      <c r="O188">
        <v>187</v>
      </c>
      <c r="P188" s="10">
        <v>1663.549194335938</v>
      </c>
      <c r="Z188" s="26">
        <v>43472</v>
      </c>
      <c r="AA188" s="28">
        <v>1123.32</v>
      </c>
    </row>
    <row r="189" spans="15:29" x14ac:dyDescent="0.2">
      <c r="O189" s="11">
        <v>188</v>
      </c>
      <c r="P189" s="10">
        <v>1654.94384765625</v>
      </c>
      <c r="Z189" s="26">
        <v>43473</v>
      </c>
      <c r="AA189" s="28">
        <v>1113.98</v>
      </c>
    </row>
    <row r="190" spans="15:29" x14ac:dyDescent="0.2">
      <c r="O190">
        <v>189</v>
      </c>
      <c r="P190" s="10">
        <v>1681.303955078125</v>
      </c>
      <c r="Z190" s="26">
        <v>43474</v>
      </c>
      <c r="AA190" s="28">
        <v>1227.45</v>
      </c>
    </row>
    <row r="191" spans="15:29" x14ac:dyDescent="0.2">
      <c r="O191">
        <v>190</v>
      </c>
      <c r="P191" s="10">
        <v>1665.774658203125</v>
      </c>
      <c r="Z191" s="26">
        <v>43475</v>
      </c>
      <c r="AA191" s="28">
        <v>1230.3499999999999</v>
      </c>
    </row>
    <row r="192" spans="15:29" x14ac:dyDescent="0.2">
      <c r="O192" s="11">
        <v>191</v>
      </c>
      <c r="P192" s="10">
        <v>1669.731201171875</v>
      </c>
      <c r="Z192" s="26">
        <v>43476</v>
      </c>
      <c r="AA192" s="28">
        <v>1274.95</v>
      </c>
    </row>
    <row r="193" spans="15:29" x14ac:dyDescent="0.2">
      <c r="O193">
        <v>192</v>
      </c>
      <c r="P193" s="10">
        <v>1633.034912109375</v>
      </c>
      <c r="Z193" s="26">
        <v>43477</v>
      </c>
      <c r="AA193" s="28">
        <v>1272.0999999999999</v>
      </c>
      <c r="AB193">
        <f>AA193/AA182-1</f>
        <v>0.22591960835332991</v>
      </c>
      <c r="AC193">
        <f>STDEV(AB193:AB261)</f>
        <v>6.7539349501732474E-2</v>
      </c>
    </row>
    <row r="194" spans="15:29" x14ac:dyDescent="0.2">
      <c r="O194">
        <v>193</v>
      </c>
      <c r="P194" s="10">
        <v>1644.310791015625</v>
      </c>
      <c r="Z194" s="26">
        <v>43831</v>
      </c>
      <c r="AA194" s="28">
        <v>1226.3</v>
      </c>
    </row>
    <row r="195" spans="15:29" x14ac:dyDescent="0.2">
      <c r="O195" s="11">
        <v>194</v>
      </c>
      <c r="P195" s="10">
        <v>1615.379150390625</v>
      </c>
      <c r="Z195" s="26">
        <v>43832</v>
      </c>
      <c r="AA195" s="28">
        <v>1177.6500000000001</v>
      </c>
    </row>
    <row r="196" spans="15:29" x14ac:dyDescent="0.2">
      <c r="O196">
        <v>195</v>
      </c>
      <c r="P196" s="10">
        <v>1633.084350585938</v>
      </c>
      <c r="Z196" s="26">
        <v>43833</v>
      </c>
      <c r="AA196" s="27">
        <v>861.9</v>
      </c>
    </row>
    <row r="197" spans="15:29" x14ac:dyDescent="0.2">
      <c r="O197">
        <v>196</v>
      </c>
      <c r="P197" s="10">
        <v>1600.196166992188</v>
      </c>
      <c r="Z197" s="26">
        <v>43834</v>
      </c>
      <c r="AA197" s="28">
        <v>1001.8</v>
      </c>
    </row>
    <row r="198" spans="15:29" x14ac:dyDescent="0.2">
      <c r="O198" s="11">
        <v>197</v>
      </c>
      <c r="P198" s="10">
        <v>1639.612548828125</v>
      </c>
      <c r="Z198" s="26">
        <v>43835</v>
      </c>
      <c r="AA198" s="27">
        <v>951.65</v>
      </c>
    </row>
    <row r="199" spans="15:29" x14ac:dyDescent="0.2">
      <c r="O199">
        <v>198</v>
      </c>
      <c r="P199" s="10">
        <v>1663.697509765625</v>
      </c>
      <c r="Z199" s="26">
        <v>43836</v>
      </c>
      <c r="AA199" s="28">
        <v>1065.8499999999999</v>
      </c>
    </row>
    <row r="200" spans="15:29" x14ac:dyDescent="0.2">
      <c r="O200">
        <v>199</v>
      </c>
      <c r="P200" s="10">
        <v>1707.41650390625</v>
      </c>
      <c r="Z200" s="26">
        <v>43837</v>
      </c>
      <c r="AA200" s="28">
        <v>1032.8</v>
      </c>
    </row>
    <row r="201" spans="15:29" x14ac:dyDescent="0.2">
      <c r="O201" s="11">
        <v>200</v>
      </c>
      <c r="P201" s="10">
        <v>1713.203002929688</v>
      </c>
      <c r="Z201" s="26">
        <v>43838</v>
      </c>
      <c r="AA201" s="28">
        <v>1115.8499999999999</v>
      </c>
    </row>
    <row r="202" spans="15:29" x14ac:dyDescent="0.2">
      <c r="O202">
        <v>201</v>
      </c>
      <c r="P202" s="10">
        <v>1733.578857421875</v>
      </c>
      <c r="Z202" s="26">
        <v>43839</v>
      </c>
      <c r="AA202" s="28">
        <v>1078.5999999999999</v>
      </c>
    </row>
    <row r="203" spans="15:29" x14ac:dyDescent="0.2">
      <c r="O203">
        <v>202</v>
      </c>
      <c r="P203" s="10">
        <v>1764.043579101562</v>
      </c>
      <c r="Z203" s="26">
        <v>43840</v>
      </c>
      <c r="AA203" s="28">
        <v>1183.55</v>
      </c>
    </row>
    <row r="204" spans="15:29" x14ac:dyDescent="0.2">
      <c r="O204" s="11">
        <v>203</v>
      </c>
      <c r="P204" s="10">
        <v>1759.740966796875</v>
      </c>
      <c r="Z204" s="26">
        <v>43841</v>
      </c>
      <c r="AA204" s="28">
        <v>1440.85</v>
      </c>
    </row>
    <row r="205" spans="15:29" x14ac:dyDescent="0.2">
      <c r="O205">
        <v>204</v>
      </c>
      <c r="P205" s="10">
        <v>1748.811279296875</v>
      </c>
      <c r="Z205" s="26">
        <v>43842</v>
      </c>
      <c r="AA205" s="28">
        <v>1436.3</v>
      </c>
      <c r="AB205">
        <f>AA205/AA194-1</f>
        <v>0.17124684008806978</v>
      </c>
    </row>
    <row r="206" spans="15:29" x14ac:dyDescent="0.2">
      <c r="O206">
        <v>205</v>
      </c>
      <c r="P206" s="10">
        <v>1740.651000976562</v>
      </c>
      <c r="Z206" s="26">
        <v>44197</v>
      </c>
      <c r="AA206" s="28">
        <v>1390.5</v>
      </c>
    </row>
    <row r="207" spans="15:29" x14ac:dyDescent="0.2">
      <c r="O207" s="11">
        <v>206</v>
      </c>
      <c r="P207" s="10">
        <v>1722.253295898438</v>
      </c>
      <c r="Z207" s="26">
        <v>44198</v>
      </c>
      <c r="AA207" s="28">
        <v>1534.4</v>
      </c>
    </row>
    <row r="208" spans="15:29" x14ac:dyDescent="0.2">
      <c r="O208">
        <v>207</v>
      </c>
      <c r="P208" s="10">
        <v>1689.9091796875</v>
      </c>
      <c r="Z208" s="26">
        <v>44199</v>
      </c>
      <c r="AA208" s="28">
        <v>1493.65</v>
      </c>
    </row>
    <row r="209" spans="15:28" x14ac:dyDescent="0.2">
      <c r="O209">
        <v>208</v>
      </c>
      <c r="P209" s="10">
        <v>1676.358276367188</v>
      </c>
      <c r="Z209" s="26">
        <v>44200</v>
      </c>
      <c r="AA209" s="28">
        <v>1412.3</v>
      </c>
    </row>
    <row r="210" spans="15:28" x14ac:dyDescent="0.2">
      <c r="O210" s="11">
        <v>209</v>
      </c>
      <c r="P210" s="10">
        <v>1650.641235351562</v>
      </c>
      <c r="Z210" s="26">
        <v>44201</v>
      </c>
      <c r="AA210" s="28">
        <v>1515.85</v>
      </c>
    </row>
    <row r="211" spans="15:28" x14ac:dyDescent="0.2">
      <c r="O211">
        <v>210</v>
      </c>
      <c r="P211" s="10">
        <v>1652.767700195312</v>
      </c>
      <c r="Z211" s="26">
        <v>44202</v>
      </c>
      <c r="AA211" s="28">
        <v>1497.9</v>
      </c>
    </row>
    <row r="212" spans="15:28" x14ac:dyDescent="0.2">
      <c r="O212">
        <v>211</v>
      </c>
      <c r="P212" s="10">
        <v>1647.822143554688</v>
      </c>
      <c r="Z212" s="26">
        <v>44203</v>
      </c>
      <c r="AA212" s="28">
        <v>1426.45</v>
      </c>
    </row>
    <row r="213" spans="15:28" x14ac:dyDescent="0.2">
      <c r="O213" s="11">
        <v>212</v>
      </c>
      <c r="P213" s="10">
        <v>1648.465087890625</v>
      </c>
      <c r="Z213" s="26">
        <v>44204</v>
      </c>
      <c r="AA213" s="28">
        <v>1581.4</v>
      </c>
    </row>
    <row r="214" spans="15:28" x14ac:dyDescent="0.2">
      <c r="O214">
        <v>213</v>
      </c>
      <c r="P214" s="10">
        <v>1626.01220703125</v>
      </c>
      <c r="Z214" s="26">
        <v>44205</v>
      </c>
      <c r="AA214" s="28">
        <v>1594.95</v>
      </c>
    </row>
    <row r="215" spans="15:28" x14ac:dyDescent="0.2">
      <c r="O215">
        <v>214</v>
      </c>
      <c r="P215" s="10">
        <v>1632.391967773438</v>
      </c>
      <c r="Z215" s="26">
        <v>44206</v>
      </c>
      <c r="AA215" s="28">
        <v>1582.85</v>
      </c>
    </row>
    <row r="216" spans="15:28" x14ac:dyDescent="0.2">
      <c r="O216" s="11">
        <v>215</v>
      </c>
      <c r="P216" s="10">
        <v>1628.583862304688</v>
      </c>
      <c r="Z216" s="26">
        <v>44207</v>
      </c>
      <c r="AA216" s="28">
        <v>1493.55</v>
      </c>
    </row>
    <row r="217" spans="15:28" x14ac:dyDescent="0.2">
      <c r="O217">
        <v>216</v>
      </c>
      <c r="P217" s="10">
        <v>1619.1376953125</v>
      </c>
      <c r="Z217" s="26">
        <v>44208</v>
      </c>
      <c r="AA217" s="28">
        <v>1479.4</v>
      </c>
      <c r="AB217">
        <f>AA217/AA206-1</f>
        <v>6.3933836749370698E-2</v>
      </c>
    </row>
    <row r="218" spans="15:28" x14ac:dyDescent="0.2">
      <c r="O218">
        <v>217</v>
      </c>
      <c r="P218" s="10">
        <v>1627.545166015625</v>
      </c>
      <c r="Z218" s="26">
        <v>44562</v>
      </c>
      <c r="AA218" s="28">
        <v>1485.7</v>
      </c>
    </row>
    <row r="219" spans="15:28" x14ac:dyDescent="0.2">
      <c r="O219" s="11">
        <v>218</v>
      </c>
      <c r="P219" s="10">
        <v>1623.93505859375</v>
      </c>
      <c r="Z219" s="26">
        <v>44563</v>
      </c>
      <c r="AA219" s="28">
        <v>1426.25</v>
      </c>
    </row>
    <row r="220" spans="15:28" x14ac:dyDescent="0.2">
      <c r="O220">
        <v>219</v>
      </c>
      <c r="P220" s="10">
        <v>1619.533325195312</v>
      </c>
      <c r="Z220" s="26">
        <v>44564</v>
      </c>
      <c r="AA220" s="28">
        <v>1470.35</v>
      </c>
    </row>
    <row r="221" spans="15:28" x14ac:dyDescent="0.2">
      <c r="O221">
        <v>220</v>
      </c>
      <c r="P221" s="10">
        <v>1609.246459960938</v>
      </c>
      <c r="Z221" s="26">
        <v>44565</v>
      </c>
      <c r="AA221" s="28">
        <v>1384.6</v>
      </c>
    </row>
    <row r="222" spans="15:28" x14ac:dyDescent="0.2">
      <c r="O222" s="11">
        <v>221</v>
      </c>
      <c r="P222" s="10">
        <v>1619.08837890625</v>
      </c>
      <c r="Z222" s="26">
        <v>44566</v>
      </c>
      <c r="AA222" s="28">
        <v>1388.95</v>
      </c>
    </row>
    <row r="223" spans="15:28" x14ac:dyDescent="0.2">
      <c r="O223">
        <v>222</v>
      </c>
      <c r="P223" s="10">
        <v>1620.720336914062</v>
      </c>
      <c r="Z223" s="26">
        <v>44567</v>
      </c>
      <c r="AA223" s="28">
        <v>1348</v>
      </c>
    </row>
    <row r="224" spans="15:28" x14ac:dyDescent="0.2">
      <c r="O224">
        <v>223</v>
      </c>
      <c r="P224" s="10">
        <v>1619.2861328125</v>
      </c>
      <c r="Z224" s="26">
        <v>44568</v>
      </c>
      <c r="AA224" s="28">
        <v>1434.2</v>
      </c>
    </row>
    <row r="225" spans="15:28" x14ac:dyDescent="0.2">
      <c r="O225" s="11">
        <v>224</v>
      </c>
      <c r="P225" s="10">
        <v>1619.929077148438</v>
      </c>
      <c r="Z225" s="26">
        <v>44569</v>
      </c>
      <c r="AA225" s="28">
        <v>1486.1</v>
      </c>
    </row>
    <row r="226" spans="15:28" x14ac:dyDescent="0.2">
      <c r="O226">
        <v>225</v>
      </c>
      <c r="P226" s="10">
        <v>1622.105102539062</v>
      </c>
      <c r="Z226" s="26">
        <v>44570</v>
      </c>
      <c r="AA226" s="28">
        <v>1421.35</v>
      </c>
    </row>
    <row r="227" spans="15:28" x14ac:dyDescent="0.2">
      <c r="O227">
        <v>226</v>
      </c>
      <c r="P227" s="10">
        <v>1607.367309570312</v>
      </c>
      <c r="Z227" s="26">
        <v>44571</v>
      </c>
      <c r="AA227" s="28">
        <v>1496.7</v>
      </c>
    </row>
    <row r="228" spans="15:28" x14ac:dyDescent="0.2">
      <c r="O228" s="11">
        <v>227</v>
      </c>
      <c r="P228" s="10">
        <v>1613.54931640625</v>
      </c>
      <c r="Z228" s="26">
        <v>44572</v>
      </c>
      <c r="AA228" s="28">
        <v>1608.45</v>
      </c>
    </row>
    <row r="229" spans="15:28" x14ac:dyDescent="0.2">
      <c r="O229">
        <v>228</v>
      </c>
      <c r="P229" s="10">
        <v>1608.109130859375</v>
      </c>
      <c r="Z229" s="26">
        <v>44573</v>
      </c>
      <c r="AA229" s="28">
        <v>1628.15</v>
      </c>
      <c r="AB229">
        <f>AA229/AA218-1</f>
        <v>9.588072962240024E-2</v>
      </c>
    </row>
    <row r="230" spans="15:28" x14ac:dyDescent="0.2">
      <c r="O230">
        <v>229</v>
      </c>
      <c r="P230" s="10">
        <v>1619.879516601562</v>
      </c>
      <c r="Z230" s="26">
        <v>44927</v>
      </c>
      <c r="AA230" s="28">
        <v>1603.5</v>
      </c>
    </row>
    <row r="231" spans="15:28" x14ac:dyDescent="0.2">
      <c r="O231" s="11">
        <v>230</v>
      </c>
      <c r="P231" s="10">
        <v>1613.796508789062</v>
      </c>
      <c r="Z231" s="26">
        <v>44928</v>
      </c>
      <c r="AA231" s="28">
        <v>1599.6</v>
      </c>
    </row>
    <row r="232" spans="15:28" x14ac:dyDescent="0.2">
      <c r="O232">
        <v>231</v>
      </c>
      <c r="P232" s="10">
        <v>1614.340454101562</v>
      </c>
      <c r="Z232" s="26">
        <v>44929</v>
      </c>
      <c r="AA232" s="28">
        <v>1609.55</v>
      </c>
    </row>
    <row r="233" spans="15:28" x14ac:dyDescent="0.2">
      <c r="O233">
        <v>232</v>
      </c>
      <c r="P233" s="10">
        <v>1590.304931640625</v>
      </c>
      <c r="Z233" s="26">
        <v>44930</v>
      </c>
      <c r="AA233" s="28">
        <v>1687.6</v>
      </c>
    </row>
    <row r="234" spans="15:28" x14ac:dyDescent="0.2">
      <c r="O234" s="11">
        <v>233</v>
      </c>
      <c r="P234" s="10">
        <v>1585.755004882812</v>
      </c>
      <c r="Z234" s="26">
        <v>44931</v>
      </c>
      <c r="AA234" s="28">
        <v>1610.85</v>
      </c>
    </row>
    <row r="235" spans="15:28" x14ac:dyDescent="0.2">
      <c r="O235">
        <v>234</v>
      </c>
      <c r="P235" s="10">
        <v>1642.035766601562</v>
      </c>
      <c r="Z235" s="26">
        <v>44932</v>
      </c>
      <c r="AA235" s="28">
        <v>1701.4</v>
      </c>
    </row>
    <row r="236" spans="15:28" x14ac:dyDescent="0.2">
      <c r="O236">
        <v>235</v>
      </c>
      <c r="P236" s="10">
        <v>1632.243530273438</v>
      </c>
      <c r="Z236" s="26">
        <v>44933</v>
      </c>
      <c r="AA236" s="28">
        <v>1651.2</v>
      </c>
    </row>
    <row r="237" spans="15:28" x14ac:dyDescent="0.2">
      <c r="O237" s="11">
        <v>236</v>
      </c>
      <c r="P237" s="10">
        <v>1624.8251953125</v>
      </c>
      <c r="Z237" s="26">
        <v>44934</v>
      </c>
      <c r="AA237" s="28">
        <v>1571.45</v>
      </c>
    </row>
    <row r="238" spans="15:28" x14ac:dyDescent="0.2">
      <c r="O238">
        <v>237</v>
      </c>
      <c r="P238" s="10">
        <v>1605.834106445312</v>
      </c>
      <c r="Z238" s="26">
        <v>44935</v>
      </c>
      <c r="AA238" s="28">
        <v>1526.3</v>
      </c>
    </row>
    <row r="239" spans="15:28" x14ac:dyDescent="0.2">
      <c r="O239">
        <v>238</v>
      </c>
      <c r="P239" s="10">
        <v>1583.776733398438</v>
      </c>
      <c r="Z239" s="26">
        <v>44936</v>
      </c>
      <c r="AA239" s="28">
        <v>1476.5</v>
      </c>
    </row>
    <row r="240" spans="15:28" x14ac:dyDescent="0.2">
      <c r="O240" s="11">
        <v>239</v>
      </c>
      <c r="P240" s="10">
        <v>1598.16845703125</v>
      </c>
      <c r="Z240" s="26">
        <v>44937</v>
      </c>
      <c r="AA240" s="28">
        <v>1558.8</v>
      </c>
    </row>
    <row r="241" spans="15:28" x14ac:dyDescent="0.2">
      <c r="O241">
        <v>240</v>
      </c>
      <c r="P241" s="10">
        <v>1641.09619140625</v>
      </c>
      <c r="Z241" s="26">
        <v>44938</v>
      </c>
      <c r="AA241" s="28">
        <v>1709.25</v>
      </c>
      <c r="AB241">
        <f>AA241/AA230-1</f>
        <v>6.5949485500467642E-2</v>
      </c>
    </row>
    <row r="242" spans="15:28" x14ac:dyDescent="0.2">
      <c r="O242">
        <v>241</v>
      </c>
      <c r="P242" s="10">
        <v>1620.967651367188</v>
      </c>
      <c r="Z242" s="26">
        <v>45292</v>
      </c>
      <c r="AA242" s="28">
        <v>1462.55</v>
      </c>
    </row>
    <row r="243" spans="15:28" x14ac:dyDescent="0.2">
      <c r="O243" s="11">
        <v>242</v>
      </c>
      <c r="P243" s="10">
        <v>1598.16845703125</v>
      </c>
      <c r="Z243" s="26">
        <v>45293</v>
      </c>
      <c r="AA243" s="28">
        <v>1403.4</v>
      </c>
    </row>
    <row r="244" spans="15:28" x14ac:dyDescent="0.2">
      <c r="O244">
        <v>243</v>
      </c>
      <c r="P244" s="10">
        <v>1597.970703125</v>
      </c>
      <c r="Z244" s="26">
        <v>45294</v>
      </c>
      <c r="AA244" s="28">
        <v>1447.9</v>
      </c>
    </row>
    <row r="245" spans="15:28" x14ac:dyDescent="0.2">
      <c r="O245">
        <v>244</v>
      </c>
      <c r="P245" s="10">
        <v>1587.5849609375</v>
      </c>
      <c r="Z245" s="26">
        <v>45295</v>
      </c>
      <c r="AA245" s="28">
        <v>1520.1</v>
      </c>
    </row>
    <row r="246" spans="15:28" x14ac:dyDescent="0.2">
      <c r="O246" s="11">
        <v>245</v>
      </c>
      <c r="P246" s="10">
        <v>1600.542358398438</v>
      </c>
      <c r="Z246" s="26">
        <v>45296</v>
      </c>
      <c r="AA246" s="28">
        <v>1531.55</v>
      </c>
    </row>
    <row r="247" spans="15:28" x14ac:dyDescent="0.2">
      <c r="O247">
        <v>246</v>
      </c>
      <c r="P247" s="10">
        <v>1599.009155273438</v>
      </c>
      <c r="Z247" s="26">
        <v>45297</v>
      </c>
      <c r="AA247" s="28">
        <v>1683.8</v>
      </c>
    </row>
    <row r="248" spans="15:28" x14ac:dyDescent="0.2">
      <c r="O248">
        <v>247</v>
      </c>
      <c r="P248" s="10">
        <v>1586.595825195312</v>
      </c>
      <c r="Z248" s="26">
        <v>45298</v>
      </c>
      <c r="AA248" s="28">
        <v>1615.75</v>
      </c>
    </row>
    <row r="249" spans="15:28" x14ac:dyDescent="0.2">
      <c r="O249" s="11">
        <v>248</v>
      </c>
      <c r="P249" s="10">
        <v>1600.789672851562</v>
      </c>
      <c r="Z249" s="26">
        <v>45299</v>
      </c>
      <c r="AA249" s="28">
        <v>1636.9</v>
      </c>
    </row>
    <row r="250" spans="15:28" x14ac:dyDescent="0.2">
      <c r="O250">
        <v>249</v>
      </c>
      <c r="P250" s="10">
        <v>1624.676879882812</v>
      </c>
      <c r="Z250" s="26">
        <v>45300</v>
      </c>
      <c r="AA250" s="28">
        <v>1732.05</v>
      </c>
    </row>
    <row r="251" spans="15:28" x14ac:dyDescent="0.2">
      <c r="O251">
        <v>250</v>
      </c>
      <c r="P251" s="10">
        <v>1589.810424804688</v>
      </c>
      <c r="Z251" s="26">
        <v>45301</v>
      </c>
      <c r="AA251" s="28">
        <v>1735.7</v>
      </c>
    </row>
    <row r="252" spans="15:28" x14ac:dyDescent="0.2">
      <c r="O252" s="11">
        <v>251</v>
      </c>
      <c r="P252" s="10">
        <v>1597.228881835938</v>
      </c>
      <c r="Z252" s="26">
        <v>45302</v>
      </c>
      <c r="AA252" s="28">
        <v>1796.05</v>
      </c>
    </row>
    <row r="253" spans="15:28" x14ac:dyDescent="0.2">
      <c r="O253">
        <v>252</v>
      </c>
      <c r="P253" s="10">
        <v>1602.124877929688</v>
      </c>
      <c r="Z253" s="26">
        <v>45303</v>
      </c>
      <c r="AA253" s="28">
        <v>1772.85</v>
      </c>
      <c r="AB253">
        <f>AA253/AA242-1</f>
        <v>0.21216368671156549</v>
      </c>
    </row>
    <row r="254" spans="15:28" x14ac:dyDescent="0.2">
      <c r="O254">
        <v>253</v>
      </c>
      <c r="P254" s="10">
        <v>1604.449340820312</v>
      </c>
      <c r="Z254" s="26">
        <v>45658</v>
      </c>
      <c r="AA254" s="28">
        <v>1698.75</v>
      </c>
    </row>
    <row r="255" spans="15:28" x14ac:dyDescent="0.2">
      <c r="O255" s="11">
        <v>254</v>
      </c>
      <c r="P255" s="10">
        <v>1605.042724609375</v>
      </c>
      <c r="Z255" s="26">
        <v>45659</v>
      </c>
      <c r="AA255" s="28">
        <v>1732.4</v>
      </c>
    </row>
    <row r="256" spans="15:28" x14ac:dyDescent="0.2">
      <c r="O256">
        <v>255</v>
      </c>
      <c r="P256" s="10">
        <v>1604.251586914062</v>
      </c>
      <c r="Z256" s="26">
        <v>45660</v>
      </c>
      <c r="AA256" s="28">
        <v>1828.2</v>
      </c>
    </row>
    <row r="257" spans="15:28" x14ac:dyDescent="0.2">
      <c r="O257">
        <v>256</v>
      </c>
      <c r="P257" s="10">
        <v>1608.40576171875</v>
      </c>
      <c r="Z257" s="26">
        <v>45661</v>
      </c>
      <c r="AA257" s="28">
        <v>1920.22</v>
      </c>
    </row>
    <row r="258" spans="15:28" x14ac:dyDescent="0.2">
      <c r="O258" s="11">
        <v>257</v>
      </c>
      <c r="P258" s="10">
        <v>1618.692626953125</v>
      </c>
      <c r="Z258" s="26">
        <v>45662</v>
      </c>
      <c r="AA258" s="28">
        <v>1940.07</v>
      </c>
    </row>
    <row r="259" spans="15:28" x14ac:dyDescent="0.2">
      <c r="O259">
        <v>258</v>
      </c>
      <c r="P259" s="10">
        <v>1617.55517578125</v>
      </c>
      <c r="Z259" s="26">
        <v>45663</v>
      </c>
      <c r="AA259" s="28">
        <v>1996.53</v>
      </c>
    </row>
    <row r="260" spans="15:28" x14ac:dyDescent="0.2">
      <c r="O260">
        <v>259</v>
      </c>
      <c r="P260" s="10">
        <v>1630.166381835938</v>
      </c>
      <c r="Z260" s="26">
        <v>45664</v>
      </c>
      <c r="AA260" s="28">
        <v>2018.2</v>
      </c>
    </row>
    <row r="261" spans="15:28" x14ac:dyDescent="0.2">
      <c r="O261" s="11">
        <v>260</v>
      </c>
      <c r="P261" s="10">
        <v>1708.356323242188</v>
      </c>
      <c r="Z261" s="26">
        <v>45665</v>
      </c>
      <c r="AA261" s="28">
        <v>1979.8</v>
      </c>
      <c r="AB261">
        <f>AA261/AA254-1</f>
        <v>0.1654451802796173</v>
      </c>
    </row>
    <row r="262" spans="15:28" x14ac:dyDescent="0.2">
      <c r="O262">
        <v>261</v>
      </c>
      <c r="P262" s="10">
        <v>1749.404663085938</v>
      </c>
    </row>
    <row r="263" spans="15:28" x14ac:dyDescent="0.2">
      <c r="O263">
        <v>262</v>
      </c>
      <c r="P263" s="10">
        <v>1711.768676757812</v>
      </c>
    </row>
    <row r="264" spans="15:28" x14ac:dyDescent="0.2">
      <c r="O264" s="11">
        <v>263</v>
      </c>
      <c r="P264" s="10">
        <v>1686.64501953125</v>
      </c>
    </row>
    <row r="265" spans="15:28" x14ac:dyDescent="0.2">
      <c r="O265">
        <v>264</v>
      </c>
      <c r="P265" s="10">
        <v>1665.47802734375</v>
      </c>
    </row>
    <row r="266" spans="15:28" x14ac:dyDescent="0.2">
      <c r="O266">
        <v>265</v>
      </c>
      <c r="P266" s="10">
        <v>1677.693603515625</v>
      </c>
    </row>
    <row r="267" spans="15:28" x14ac:dyDescent="0.2">
      <c r="O267" s="11">
        <v>266</v>
      </c>
      <c r="P267" s="10">
        <v>1682.9853515625</v>
      </c>
    </row>
    <row r="268" spans="15:28" x14ac:dyDescent="0.2">
      <c r="O268">
        <v>267</v>
      </c>
      <c r="P268" s="10">
        <v>1692.728149414062</v>
      </c>
    </row>
    <row r="269" spans="15:28" x14ac:dyDescent="0.2">
      <c r="O269">
        <v>268</v>
      </c>
      <c r="P269" s="10">
        <v>1654.202026367188</v>
      </c>
    </row>
    <row r="270" spans="15:28" x14ac:dyDescent="0.2">
      <c r="O270" s="11">
        <v>269</v>
      </c>
      <c r="P270" s="10">
        <v>1647.624389648438</v>
      </c>
    </row>
    <row r="271" spans="15:28" x14ac:dyDescent="0.2">
      <c r="O271">
        <v>270</v>
      </c>
      <c r="P271" s="10">
        <v>1651.185180664062</v>
      </c>
    </row>
    <row r="272" spans="15:28" x14ac:dyDescent="0.2">
      <c r="O272">
        <v>271</v>
      </c>
      <c r="P272" s="10">
        <v>1639.810302734375</v>
      </c>
    </row>
    <row r="273" spans="15:16" x14ac:dyDescent="0.2">
      <c r="O273" s="11">
        <v>272</v>
      </c>
      <c r="P273" s="10">
        <v>1590.304931640625</v>
      </c>
    </row>
    <row r="274" spans="15:16" x14ac:dyDescent="0.2">
      <c r="O274">
        <v>273</v>
      </c>
      <c r="P274" s="10">
        <v>1579.523559570312</v>
      </c>
    </row>
    <row r="275" spans="15:16" x14ac:dyDescent="0.2">
      <c r="O275">
        <v>274</v>
      </c>
      <c r="P275" s="10">
        <v>1563.54931640625</v>
      </c>
    </row>
    <row r="276" spans="15:16" x14ac:dyDescent="0.2">
      <c r="O276" s="11">
        <v>275</v>
      </c>
      <c r="P276" s="10">
        <v>1557.021118164062</v>
      </c>
    </row>
    <row r="277" spans="15:16" x14ac:dyDescent="0.2">
      <c r="O277">
        <v>276</v>
      </c>
      <c r="P277" s="10">
        <v>1547.77294921875</v>
      </c>
    </row>
    <row r="278" spans="15:16" x14ac:dyDescent="0.2">
      <c r="O278">
        <v>277</v>
      </c>
      <c r="P278" s="10">
        <v>1544.31103515625</v>
      </c>
    </row>
    <row r="279" spans="15:16" x14ac:dyDescent="0.2">
      <c r="O279" s="11">
        <v>278</v>
      </c>
      <c r="P279" s="10">
        <v>1556.229736328125</v>
      </c>
    </row>
    <row r="280" spans="15:16" x14ac:dyDescent="0.2">
      <c r="O280">
        <v>279</v>
      </c>
      <c r="P280" s="10">
        <v>1542.728271484375</v>
      </c>
    </row>
    <row r="281" spans="15:16" x14ac:dyDescent="0.2">
      <c r="O281">
        <v>280</v>
      </c>
      <c r="P281" s="10">
        <v>1534.914306640625</v>
      </c>
    </row>
    <row r="282" spans="15:16" x14ac:dyDescent="0.2">
      <c r="O282" s="11">
        <v>281</v>
      </c>
      <c r="P282" s="10">
        <v>1467.011352539062</v>
      </c>
    </row>
    <row r="283" spans="15:16" x14ac:dyDescent="0.2">
      <c r="O283">
        <v>282</v>
      </c>
      <c r="P283" s="10">
        <v>1555.09228515625</v>
      </c>
    </row>
    <row r="284" spans="15:16" x14ac:dyDescent="0.2">
      <c r="O284">
        <v>283</v>
      </c>
      <c r="P284" s="10">
        <v>1514.884643554688</v>
      </c>
    </row>
    <row r="285" spans="15:16" x14ac:dyDescent="0.2">
      <c r="O285" s="11">
        <v>284</v>
      </c>
      <c r="P285" s="10">
        <v>1498.366333007812</v>
      </c>
    </row>
    <row r="286" spans="15:16" x14ac:dyDescent="0.2">
      <c r="O286">
        <v>285</v>
      </c>
      <c r="P286" s="10">
        <v>1491.8876953125</v>
      </c>
    </row>
    <row r="287" spans="15:16" x14ac:dyDescent="0.2">
      <c r="O287">
        <v>286</v>
      </c>
      <c r="P287" s="10">
        <v>1513.846069335938</v>
      </c>
    </row>
    <row r="288" spans="15:16" x14ac:dyDescent="0.2">
      <c r="O288" s="11">
        <v>287</v>
      </c>
      <c r="P288" s="10">
        <v>1511.076538085938</v>
      </c>
    </row>
    <row r="289" spans="15:16" x14ac:dyDescent="0.2">
      <c r="O289">
        <v>288</v>
      </c>
      <c r="P289" s="10">
        <v>1500.690795898438</v>
      </c>
    </row>
    <row r="290" spans="15:16" x14ac:dyDescent="0.2">
      <c r="O290">
        <v>289</v>
      </c>
      <c r="P290" s="10">
        <v>1476.3583984375</v>
      </c>
    </row>
    <row r="291" spans="15:16" x14ac:dyDescent="0.2">
      <c r="O291" s="11">
        <v>290</v>
      </c>
      <c r="P291" s="10">
        <v>1443.321899414062</v>
      </c>
    </row>
    <row r="292" spans="15:16" x14ac:dyDescent="0.2">
      <c r="O292">
        <v>291</v>
      </c>
      <c r="P292" s="10">
        <v>1442.92626953125</v>
      </c>
    </row>
    <row r="293" spans="15:16" x14ac:dyDescent="0.2">
      <c r="O293">
        <v>292</v>
      </c>
      <c r="P293" s="10">
        <v>1448.168579101562</v>
      </c>
    </row>
    <row r="294" spans="15:16" x14ac:dyDescent="0.2">
      <c r="O294" s="11">
        <v>293</v>
      </c>
      <c r="P294" s="10">
        <v>1444.360473632812</v>
      </c>
    </row>
    <row r="295" spans="15:16" x14ac:dyDescent="0.2">
      <c r="O295">
        <v>294</v>
      </c>
      <c r="P295" s="10">
        <v>1422.84716796875</v>
      </c>
    </row>
    <row r="296" spans="15:16" x14ac:dyDescent="0.2">
      <c r="O296">
        <v>295</v>
      </c>
      <c r="P296" s="10">
        <v>1445.052856445312</v>
      </c>
    </row>
    <row r="297" spans="15:16" x14ac:dyDescent="0.2">
      <c r="O297" s="11">
        <v>296</v>
      </c>
      <c r="P297" s="10">
        <v>1439.414916992188</v>
      </c>
    </row>
    <row r="298" spans="15:16" x14ac:dyDescent="0.2">
      <c r="O298">
        <v>297</v>
      </c>
      <c r="P298" s="10">
        <v>1422.253662109375</v>
      </c>
    </row>
    <row r="299" spans="15:16" x14ac:dyDescent="0.2">
      <c r="O299">
        <v>298</v>
      </c>
      <c r="P299" s="10">
        <v>1412.46142578125</v>
      </c>
    </row>
    <row r="300" spans="15:16" x14ac:dyDescent="0.2">
      <c r="O300" s="11">
        <v>299</v>
      </c>
      <c r="P300" s="10">
        <v>1446.760620117188</v>
      </c>
    </row>
    <row r="301" spans="15:16" x14ac:dyDescent="0.2">
      <c r="O301">
        <v>300</v>
      </c>
      <c r="P301" s="10">
        <v>1469.691772460938</v>
      </c>
    </row>
    <row r="302" spans="15:16" x14ac:dyDescent="0.2">
      <c r="O302">
        <v>301</v>
      </c>
      <c r="P302" s="10">
        <v>1485.792358398438</v>
      </c>
    </row>
    <row r="303" spans="15:16" x14ac:dyDescent="0.2">
      <c r="O303" s="11">
        <v>302</v>
      </c>
      <c r="P303" s="10">
        <v>1482.816040039062</v>
      </c>
    </row>
    <row r="304" spans="15:16" x14ac:dyDescent="0.2">
      <c r="O304">
        <v>303</v>
      </c>
      <c r="P304" s="10">
        <v>1495.159912109375</v>
      </c>
    </row>
    <row r="305" spans="15:16" x14ac:dyDescent="0.2">
      <c r="O305">
        <v>304</v>
      </c>
      <c r="P305" s="10">
        <v>1483.303955078125</v>
      </c>
    </row>
    <row r="306" spans="15:16" x14ac:dyDescent="0.2">
      <c r="O306" s="11">
        <v>305</v>
      </c>
      <c r="P306" s="10">
        <v>1492.4765625</v>
      </c>
    </row>
    <row r="307" spans="15:16" x14ac:dyDescent="0.2">
      <c r="O307">
        <v>306</v>
      </c>
      <c r="P307" s="10">
        <v>1473.25341796875</v>
      </c>
    </row>
    <row r="308" spans="15:16" x14ac:dyDescent="0.2">
      <c r="O308">
        <v>307</v>
      </c>
      <c r="P308" s="10">
        <v>1474.180419921875</v>
      </c>
    </row>
    <row r="309" spans="15:16" x14ac:dyDescent="0.2">
      <c r="O309" s="11">
        <v>308</v>
      </c>
      <c r="P309" s="10">
        <v>1475.107299804688</v>
      </c>
    </row>
    <row r="310" spans="15:16" x14ac:dyDescent="0.2">
      <c r="O310">
        <v>309</v>
      </c>
      <c r="P310" s="10">
        <v>1471.106689453125</v>
      </c>
    </row>
    <row r="311" spans="15:16" x14ac:dyDescent="0.2">
      <c r="O311">
        <v>310</v>
      </c>
      <c r="P311" s="10">
        <v>1475.59521484375</v>
      </c>
    </row>
    <row r="312" spans="15:16" x14ac:dyDescent="0.2">
      <c r="O312" s="11">
        <v>311</v>
      </c>
      <c r="P312" s="10">
        <v>1494.233032226562</v>
      </c>
    </row>
    <row r="313" spans="15:16" x14ac:dyDescent="0.2">
      <c r="O313">
        <v>312</v>
      </c>
      <c r="P313" s="10">
        <v>1458.518798828125</v>
      </c>
    </row>
    <row r="314" spans="15:16" x14ac:dyDescent="0.2">
      <c r="O314">
        <v>313</v>
      </c>
      <c r="P314" s="10">
        <v>1472.716796875</v>
      </c>
    </row>
    <row r="315" spans="15:16" x14ac:dyDescent="0.2">
      <c r="O315" s="11">
        <v>314</v>
      </c>
      <c r="P315" s="10">
        <v>1458.518798828125</v>
      </c>
    </row>
    <row r="316" spans="15:16" x14ac:dyDescent="0.2">
      <c r="O316">
        <v>315</v>
      </c>
      <c r="P316" s="10">
        <v>1482.181884765625</v>
      </c>
    </row>
    <row r="317" spans="15:16" x14ac:dyDescent="0.2">
      <c r="O317">
        <v>316</v>
      </c>
      <c r="P317" s="10">
        <v>1499.16064453125</v>
      </c>
    </row>
    <row r="318" spans="15:16" x14ac:dyDescent="0.2">
      <c r="O318" s="11">
        <v>317</v>
      </c>
      <c r="P318" s="10">
        <v>1511.0654296875</v>
      </c>
    </row>
    <row r="319" spans="15:16" x14ac:dyDescent="0.2">
      <c r="O319">
        <v>318</v>
      </c>
      <c r="P319" s="10">
        <v>1509.16259765625</v>
      </c>
    </row>
    <row r="320" spans="15:16" x14ac:dyDescent="0.2">
      <c r="O320">
        <v>319</v>
      </c>
      <c r="P320" s="10">
        <v>1512.041259765625</v>
      </c>
    </row>
    <row r="321" spans="15:16" x14ac:dyDescent="0.2">
      <c r="O321" s="11">
        <v>320</v>
      </c>
      <c r="P321" s="10">
        <v>1490.62255859375</v>
      </c>
    </row>
    <row r="322" spans="15:16" x14ac:dyDescent="0.2">
      <c r="O322">
        <v>321</v>
      </c>
      <c r="P322" s="10">
        <v>1446.419189453125</v>
      </c>
    </row>
    <row r="323" spans="15:16" x14ac:dyDescent="0.2">
      <c r="O323">
        <v>322</v>
      </c>
      <c r="P323" s="10">
        <v>1444.321166992188</v>
      </c>
    </row>
    <row r="324" spans="15:16" x14ac:dyDescent="0.2">
      <c r="O324" s="11">
        <v>323</v>
      </c>
      <c r="P324" s="10">
        <v>1434.904663085938</v>
      </c>
    </row>
    <row r="325" spans="15:16" x14ac:dyDescent="0.2">
      <c r="O325">
        <v>324</v>
      </c>
      <c r="P325" s="10">
        <v>1412.851806640625</v>
      </c>
    </row>
    <row r="326" spans="15:16" x14ac:dyDescent="0.2">
      <c r="O326">
        <v>325</v>
      </c>
      <c r="P326" s="10">
        <v>1405.826049804688</v>
      </c>
    </row>
    <row r="327" spans="15:16" x14ac:dyDescent="0.2">
      <c r="O327" s="11">
        <v>326</v>
      </c>
      <c r="P327" s="10">
        <v>1390.896362304688</v>
      </c>
    </row>
    <row r="328" spans="15:16" x14ac:dyDescent="0.2">
      <c r="O328">
        <v>327</v>
      </c>
      <c r="P328" s="10">
        <v>1407.923950195312</v>
      </c>
    </row>
    <row r="329" spans="15:16" x14ac:dyDescent="0.2">
      <c r="O329">
        <v>328</v>
      </c>
      <c r="P329" s="10">
        <v>1410.753784179688</v>
      </c>
    </row>
    <row r="330" spans="15:16" x14ac:dyDescent="0.2">
      <c r="O330" s="11">
        <v>329</v>
      </c>
      <c r="P330" s="10">
        <v>1396.40966796875</v>
      </c>
    </row>
    <row r="331" spans="15:16" x14ac:dyDescent="0.2">
      <c r="O331">
        <v>330</v>
      </c>
      <c r="P331" s="10">
        <v>1414.2666015625</v>
      </c>
    </row>
    <row r="332" spans="15:16" x14ac:dyDescent="0.2">
      <c r="O332">
        <v>331</v>
      </c>
      <c r="P332" s="10">
        <v>1411.046508789062</v>
      </c>
    </row>
    <row r="333" spans="15:16" x14ac:dyDescent="0.2">
      <c r="O333" s="11">
        <v>332</v>
      </c>
      <c r="P333" s="10">
        <v>1417.48681640625</v>
      </c>
    </row>
    <row r="334" spans="15:16" x14ac:dyDescent="0.2">
      <c r="O334">
        <v>333</v>
      </c>
      <c r="P334" s="10">
        <v>1420.218994140625</v>
      </c>
    </row>
    <row r="335" spans="15:16" x14ac:dyDescent="0.2">
      <c r="O335">
        <v>334</v>
      </c>
      <c r="P335" s="10">
        <v>1425.049194335938</v>
      </c>
    </row>
    <row r="336" spans="15:16" x14ac:dyDescent="0.2">
      <c r="O336" s="11">
        <v>335</v>
      </c>
      <c r="P336" s="10">
        <v>1424.2197265625</v>
      </c>
    </row>
    <row r="337" spans="15:16" x14ac:dyDescent="0.2">
      <c r="O337">
        <v>336</v>
      </c>
      <c r="P337" s="10">
        <v>1393.23828125</v>
      </c>
    </row>
    <row r="338" spans="15:16" x14ac:dyDescent="0.2">
      <c r="O338">
        <v>337</v>
      </c>
      <c r="P338" s="10">
        <v>1411.095336914062</v>
      </c>
    </row>
    <row r="339" spans="15:16" x14ac:dyDescent="0.2">
      <c r="O339" s="11">
        <v>338</v>
      </c>
      <c r="P339" s="10">
        <v>1407.680053710938</v>
      </c>
    </row>
    <row r="340" spans="15:16" x14ac:dyDescent="0.2">
      <c r="O340">
        <v>339</v>
      </c>
      <c r="P340" s="10">
        <v>1405.972412109375</v>
      </c>
    </row>
    <row r="341" spans="15:16" x14ac:dyDescent="0.2">
      <c r="O341">
        <v>340</v>
      </c>
      <c r="P341" s="10">
        <v>1398.019653320312</v>
      </c>
    </row>
    <row r="342" spans="15:16" x14ac:dyDescent="0.2">
      <c r="O342" s="11">
        <v>341</v>
      </c>
      <c r="P342" s="10">
        <v>1396.116943359375</v>
      </c>
    </row>
    <row r="343" spans="15:16" x14ac:dyDescent="0.2">
      <c r="O343">
        <v>342</v>
      </c>
      <c r="P343" s="10">
        <v>1369.428955078125</v>
      </c>
    </row>
    <row r="344" spans="15:16" x14ac:dyDescent="0.2">
      <c r="O344">
        <v>343</v>
      </c>
      <c r="P344" s="10">
        <v>1375.28369140625</v>
      </c>
    </row>
    <row r="345" spans="15:16" x14ac:dyDescent="0.2">
      <c r="O345" s="11">
        <v>344</v>
      </c>
      <c r="P345" s="10">
        <v>1385.773559570312</v>
      </c>
    </row>
    <row r="346" spans="15:16" x14ac:dyDescent="0.2">
      <c r="O346">
        <v>345</v>
      </c>
      <c r="P346" s="10">
        <v>1387.871459960938</v>
      </c>
    </row>
    <row r="347" spans="15:16" x14ac:dyDescent="0.2">
      <c r="O347">
        <v>346</v>
      </c>
      <c r="P347" s="10">
        <v>1386.212524414062</v>
      </c>
    </row>
    <row r="348" spans="15:16" x14ac:dyDescent="0.2">
      <c r="O348" s="11">
        <v>347</v>
      </c>
      <c r="P348" s="10">
        <v>1385.188110351562</v>
      </c>
    </row>
    <row r="349" spans="15:16" x14ac:dyDescent="0.2">
      <c r="O349">
        <v>348</v>
      </c>
      <c r="P349" s="10">
        <v>1404.313598632812</v>
      </c>
    </row>
    <row r="350" spans="15:16" x14ac:dyDescent="0.2">
      <c r="O350">
        <v>349</v>
      </c>
      <c r="P350" s="10">
        <v>1419.096923828125</v>
      </c>
    </row>
    <row r="351" spans="15:16" x14ac:dyDescent="0.2">
      <c r="O351" s="11">
        <v>350</v>
      </c>
      <c r="P351" s="10">
        <v>1382.797241210938</v>
      </c>
    </row>
    <row r="352" spans="15:16" x14ac:dyDescent="0.2">
      <c r="O352">
        <v>351</v>
      </c>
      <c r="P352" s="10">
        <v>1385.529541015625</v>
      </c>
    </row>
    <row r="353" spans="15:16" x14ac:dyDescent="0.2">
      <c r="O353">
        <v>352</v>
      </c>
      <c r="P353" s="10">
        <v>1379.821166992188</v>
      </c>
    </row>
    <row r="354" spans="15:16" x14ac:dyDescent="0.2">
      <c r="O354" s="11">
        <v>353</v>
      </c>
      <c r="P354" s="10">
        <v>1350.54736328125</v>
      </c>
    </row>
    <row r="355" spans="15:16" x14ac:dyDescent="0.2">
      <c r="O355">
        <v>354</v>
      </c>
      <c r="P355" s="10">
        <v>1360.695556640625</v>
      </c>
    </row>
    <row r="356" spans="15:16" x14ac:dyDescent="0.2">
      <c r="O356">
        <v>355</v>
      </c>
      <c r="P356" s="10">
        <v>1356.353271484375</v>
      </c>
    </row>
    <row r="357" spans="15:16" x14ac:dyDescent="0.2">
      <c r="O357" s="11">
        <v>356</v>
      </c>
      <c r="P357" s="10">
        <v>1369.6240234375</v>
      </c>
    </row>
    <row r="358" spans="15:16" x14ac:dyDescent="0.2">
      <c r="O358">
        <v>357</v>
      </c>
      <c r="P358" s="10">
        <v>1369.087524414062</v>
      </c>
    </row>
    <row r="359" spans="15:16" x14ac:dyDescent="0.2">
      <c r="O359">
        <v>358</v>
      </c>
      <c r="P359" s="10">
        <v>1395.336181640625</v>
      </c>
    </row>
    <row r="360" spans="15:16" x14ac:dyDescent="0.2">
      <c r="O360" s="11">
        <v>359</v>
      </c>
      <c r="P360" s="10">
        <v>1409.143676757812</v>
      </c>
    </row>
    <row r="361" spans="15:16" x14ac:dyDescent="0.2">
      <c r="O361">
        <v>360</v>
      </c>
      <c r="P361" s="10">
        <v>1409.875610351562</v>
      </c>
    </row>
    <row r="362" spans="15:16" x14ac:dyDescent="0.2">
      <c r="O362">
        <v>361</v>
      </c>
      <c r="P362" s="10">
        <v>1411.144165039062</v>
      </c>
    </row>
    <row r="363" spans="15:16" x14ac:dyDescent="0.2">
      <c r="O363" s="11">
        <v>362</v>
      </c>
      <c r="P363" s="10">
        <v>1430.855102539062</v>
      </c>
    </row>
    <row r="364" spans="15:16" x14ac:dyDescent="0.2">
      <c r="O364">
        <v>363</v>
      </c>
      <c r="P364" s="10">
        <v>1427.147094726562</v>
      </c>
    </row>
    <row r="365" spans="15:16" x14ac:dyDescent="0.2">
      <c r="O365">
        <v>364</v>
      </c>
      <c r="P365" s="10">
        <v>1409.3388671875</v>
      </c>
    </row>
    <row r="366" spans="15:16" x14ac:dyDescent="0.2">
      <c r="O366" s="11">
        <v>365</v>
      </c>
      <c r="P366" s="10">
        <v>1419.438354492188</v>
      </c>
    </row>
    <row r="367" spans="15:16" x14ac:dyDescent="0.2">
      <c r="O367">
        <v>366</v>
      </c>
      <c r="P367" s="10">
        <v>1400.16650390625</v>
      </c>
    </row>
    <row r="368" spans="15:16" x14ac:dyDescent="0.2">
      <c r="O368">
        <v>367</v>
      </c>
      <c r="P368" s="10">
        <v>1420.658081054688</v>
      </c>
    </row>
    <row r="369" spans="15:16" x14ac:dyDescent="0.2">
      <c r="O369" s="11">
        <v>368</v>
      </c>
      <c r="P369" s="10">
        <v>1392.799194335938</v>
      </c>
    </row>
    <row r="370" spans="15:16" x14ac:dyDescent="0.2">
      <c r="O370">
        <v>369</v>
      </c>
      <c r="P370" s="10">
        <v>1435.051025390625</v>
      </c>
    </row>
    <row r="371" spans="15:16" x14ac:dyDescent="0.2">
      <c r="O371">
        <v>370</v>
      </c>
      <c r="P371" s="10">
        <v>1450.175903320312</v>
      </c>
    </row>
    <row r="372" spans="15:16" x14ac:dyDescent="0.2">
      <c r="O372" s="11">
        <v>371</v>
      </c>
      <c r="P372" s="10">
        <v>1500.282836914062</v>
      </c>
    </row>
    <row r="373" spans="15:16" x14ac:dyDescent="0.2">
      <c r="O373">
        <v>372</v>
      </c>
      <c r="P373" s="10">
        <v>1638.504150390625</v>
      </c>
    </row>
    <row r="374" spans="15:16" x14ac:dyDescent="0.2">
      <c r="O374">
        <v>373</v>
      </c>
      <c r="P374" s="10">
        <v>1632.307739257812</v>
      </c>
    </row>
    <row r="375" spans="15:16" x14ac:dyDescent="0.2">
      <c r="O375" s="11">
        <v>374</v>
      </c>
      <c r="P375" s="10">
        <v>1601.47265625</v>
      </c>
    </row>
    <row r="376" spans="15:16" x14ac:dyDescent="0.2">
      <c r="O376">
        <v>375</v>
      </c>
      <c r="P376" s="10">
        <v>1609.083862304688</v>
      </c>
    </row>
    <row r="377" spans="15:16" x14ac:dyDescent="0.2">
      <c r="O377">
        <v>376</v>
      </c>
      <c r="P377" s="10">
        <v>1615.865600585938</v>
      </c>
    </row>
    <row r="378" spans="15:16" x14ac:dyDescent="0.2">
      <c r="O378" s="11">
        <v>377</v>
      </c>
      <c r="P378" s="10">
        <v>1610.547485351562</v>
      </c>
    </row>
    <row r="379" spans="15:16" x14ac:dyDescent="0.2">
      <c r="O379">
        <v>378</v>
      </c>
      <c r="P379" s="10">
        <v>1623.183959960938</v>
      </c>
    </row>
    <row r="380" spans="15:16" x14ac:dyDescent="0.2">
      <c r="O380">
        <v>379</v>
      </c>
      <c r="P380" s="10">
        <v>1641.480224609375</v>
      </c>
    </row>
    <row r="381" spans="15:16" x14ac:dyDescent="0.2">
      <c r="O381" s="11">
        <v>380</v>
      </c>
      <c r="P381" s="10">
        <v>1649.9208984375</v>
      </c>
    </row>
    <row r="382" spans="15:16" x14ac:dyDescent="0.2">
      <c r="O382">
        <v>381</v>
      </c>
      <c r="P382" s="10">
        <v>1632.4052734375</v>
      </c>
    </row>
    <row r="383" spans="15:16" x14ac:dyDescent="0.2">
      <c r="O383">
        <v>382</v>
      </c>
      <c r="P383" s="10">
        <v>1657.971069335938</v>
      </c>
    </row>
    <row r="384" spans="15:16" x14ac:dyDescent="0.2">
      <c r="O384" s="11">
        <v>383</v>
      </c>
      <c r="P384" s="10">
        <v>1656.995239257812</v>
      </c>
    </row>
    <row r="385" spans="15:16" x14ac:dyDescent="0.2">
      <c r="O385">
        <v>384</v>
      </c>
      <c r="P385" s="10">
        <v>1667.87548828125</v>
      </c>
    </row>
    <row r="386" spans="15:16" x14ac:dyDescent="0.2">
      <c r="O386">
        <v>385</v>
      </c>
      <c r="P386" s="10">
        <v>1663.972290039062</v>
      </c>
    </row>
    <row r="387" spans="15:16" x14ac:dyDescent="0.2">
      <c r="O387" s="11">
        <v>386</v>
      </c>
      <c r="P387" s="10">
        <v>1662.069580078125</v>
      </c>
    </row>
    <row r="388" spans="15:16" x14ac:dyDescent="0.2">
      <c r="O388">
        <v>387</v>
      </c>
      <c r="P388" s="10">
        <v>1641.724243164062</v>
      </c>
    </row>
    <row r="389" spans="15:16" x14ac:dyDescent="0.2">
      <c r="O389">
        <v>388</v>
      </c>
      <c r="P389" s="10">
        <v>1630.405029296875</v>
      </c>
    </row>
    <row r="390" spans="15:16" x14ac:dyDescent="0.2">
      <c r="O390" s="11">
        <v>389</v>
      </c>
      <c r="P390" s="10">
        <v>1645.871215820312</v>
      </c>
    </row>
    <row r="391" spans="15:16" x14ac:dyDescent="0.2">
      <c r="O391">
        <v>390</v>
      </c>
      <c r="P391" s="10">
        <v>1616.890258789062</v>
      </c>
    </row>
    <row r="392" spans="15:16" x14ac:dyDescent="0.2">
      <c r="O392">
        <v>391</v>
      </c>
      <c r="P392" s="10">
        <v>1612.889526367188</v>
      </c>
    </row>
    <row r="393" spans="15:16" x14ac:dyDescent="0.2">
      <c r="O393" s="11">
        <v>392</v>
      </c>
      <c r="P393" s="10">
        <v>1615.621704101562</v>
      </c>
    </row>
    <row r="394" spans="15:16" x14ac:dyDescent="0.2">
      <c r="O394">
        <v>393</v>
      </c>
      <c r="P394" s="10">
        <v>1616.451171875</v>
      </c>
    </row>
    <row r="395" spans="15:16" x14ac:dyDescent="0.2">
      <c r="O395">
        <v>394</v>
      </c>
      <c r="P395" s="10">
        <v>1610.2060546875</v>
      </c>
    </row>
    <row r="396" spans="15:16" x14ac:dyDescent="0.2">
      <c r="O396" s="11">
        <v>395</v>
      </c>
      <c r="P396" s="10">
        <v>1591.421997070312</v>
      </c>
    </row>
    <row r="397" spans="15:16" x14ac:dyDescent="0.2">
      <c r="O397">
        <v>396</v>
      </c>
      <c r="P397" s="10">
        <v>1595.032348632812</v>
      </c>
    </row>
    <row r="398" spans="15:16" x14ac:dyDescent="0.2">
      <c r="O398">
        <v>397</v>
      </c>
      <c r="P398" s="10">
        <v>1611.035400390625</v>
      </c>
    </row>
    <row r="399" spans="15:16" x14ac:dyDescent="0.2">
      <c r="O399" s="11">
        <v>398</v>
      </c>
      <c r="P399" s="10">
        <v>1613.182250976562</v>
      </c>
    </row>
    <row r="400" spans="15:16" x14ac:dyDescent="0.2">
      <c r="O400">
        <v>399</v>
      </c>
      <c r="P400" s="10">
        <v>1590.982788085938</v>
      </c>
    </row>
    <row r="401" spans="15:16" x14ac:dyDescent="0.2">
      <c r="O401">
        <v>400</v>
      </c>
      <c r="P401" s="10">
        <v>1588.397094726562</v>
      </c>
    </row>
    <row r="402" spans="15:16" x14ac:dyDescent="0.2">
      <c r="O402" s="11">
        <v>401</v>
      </c>
      <c r="P402" s="10">
        <v>1584.396240234375</v>
      </c>
    </row>
    <row r="403" spans="15:16" x14ac:dyDescent="0.2">
      <c r="O403">
        <v>402</v>
      </c>
      <c r="P403" s="10">
        <v>1570.442504882812</v>
      </c>
    </row>
    <row r="404" spans="15:16" x14ac:dyDescent="0.2">
      <c r="O404">
        <v>403</v>
      </c>
      <c r="P404" s="10">
        <v>1517.749633789062</v>
      </c>
    </row>
    <row r="405" spans="15:16" x14ac:dyDescent="0.2">
      <c r="O405" s="11">
        <v>404</v>
      </c>
      <c r="P405" s="10">
        <v>1521.067260742188</v>
      </c>
    </row>
    <row r="406" spans="15:16" x14ac:dyDescent="0.2">
      <c r="O406">
        <v>405</v>
      </c>
      <c r="P406" s="10">
        <v>1521.408813476562</v>
      </c>
    </row>
    <row r="407" spans="15:16" x14ac:dyDescent="0.2">
      <c r="O407">
        <v>406</v>
      </c>
      <c r="P407" s="10">
        <v>1491.647216796875</v>
      </c>
    </row>
    <row r="408" spans="15:16" x14ac:dyDescent="0.2">
      <c r="O408" s="11">
        <v>407</v>
      </c>
      <c r="P408" s="10">
        <v>1495.013549804688</v>
      </c>
    </row>
    <row r="409" spans="15:16" x14ac:dyDescent="0.2">
      <c r="O409">
        <v>408</v>
      </c>
      <c r="P409" s="10">
        <v>1484.47509765625</v>
      </c>
    </row>
    <row r="410" spans="15:16" x14ac:dyDescent="0.2">
      <c r="O410">
        <v>409</v>
      </c>
      <c r="P410" s="10">
        <v>1475.936767578125</v>
      </c>
    </row>
    <row r="411" spans="15:16" x14ac:dyDescent="0.2">
      <c r="O411" s="11">
        <v>410</v>
      </c>
      <c r="P411" s="10">
        <v>1481.2060546875</v>
      </c>
    </row>
    <row r="412" spans="15:16" x14ac:dyDescent="0.2">
      <c r="O412">
        <v>411</v>
      </c>
      <c r="P412" s="10">
        <v>1468.764770507812</v>
      </c>
    </row>
    <row r="413" spans="15:16" x14ac:dyDescent="0.2">
      <c r="O413">
        <v>412</v>
      </c>
      <c r="P413" s="10">
        <v>1468.667236328125</v>
      </c>
    </row>
    <row r="414" spans="15:16" x14ac:dyDescent="0.2">
      <c r="O414" s="11">
        <v>413</v>
      </c>
      <c r="P414" s="10">
        <v>1471.838500976562</v>
      </c>
    </row>
    <row r="415" spans="15:16" x14ac:dyDescent="0.2">
      <c r="O415">
        <v>414</v>
      </c>
      <c r="P415" s="10">
        <v>1467.984130859375</v>
      </c>
    </row>
    <row r="416" spans="15:16" x14ac:dyDescent="0.2">
      <c r="O416">
        <v>415</v>
      </c>
      <c r="P416" s="10">
        <v>1452.76171875</v>
      </c>
    </row>
    <row r="417" spans="15:16" x14ac:dyDescent="0.2">
      <c r="O417" s="11">
        <v>416</v>
      </c>
      <c r="P417" s="10">
        <v>1455.396362304688</v>
      </c>
    </row>
    <row r="418" spans="15:16" x14ac:dyDescent="0.2">
      <c r="O418">
        <v>417</v>
      </c>
      <c r="P418" s="10">
        <v>1449.68798828125</v>
      </c>
    </row>
    <row r="419" spans="15:16" x14ac:dyDescent="0.2">
      <c r="O419">
        <v>418</v>
      </c>
      <c r="P419" s="10">
        <v>1455.445190429688</v>
      </c>
    </row>
    <row r="420" spans="15:16" x14ac:dyDescent="0.2">
      <c r="O420" s="11">
        <v>419</v>
      </c>
      <c r="P420" s="10">
        <v>1451.249145507812</v>
      </c>
    </row>
    <row r="421" spans="15:16" x14ac:dyDescent="0.2">
      <c r="O421">
        <v>420</v>
      </c>
      <c r="P421" s="10">
        <v>1458.32373046875</v>
      </c>
    </row>
    <row r="422" spans="15:16" x14ac:dyDescent="0.2">
      <c r="O422">
        <v>421</v>
      </c>
      <c r="P422" s="10">
        <v>1447.833984375</v>
      </c>
    </row>
    <row r="423" spans="15:16" x14ac:dyDescent="0.2">
      <c r="O423" s="11">
        <v>422</v>
      </c>
      <c r="P423" s="10">
        <v>1441.00341796875</v>
      </c>
    </row>
    <row r="424" spans="15:16" x14ac:dyDescent="0.2">
      <c r="O424">
        <v>423</v>
      </c>
      <c r="P424" s="10">
        <v>1438.807983398438</v>
      </c>
    </row>
    <row r="425" spans="15:16" x14ac:dyDescent="0.2">
      <c r="O425">
        <v>424</v>
      </c>
      <c r="P425" s="10">
        <v>1440.759521484375</v>
      </c>
    </row>
    <row r="426" spans="15:16" x14ac:dyDescent="0.2">
      <c r="O426" s="11">
        <v>425</v>
      </c>
      <c r="P426" s="10">
        <v>1449.151245117188</v>
      </c>
    </row>
    <row r="427" spans="15:16" x14ac:dyDescent="0.2">
      <c r="O427">
        <v>426</v>
      </c>
      <c r="P427" s="10">
        <v>1433.58740234375</v>
      </c>
    </row>
    <row r="428" spans="15:16" x14ac:dyDescent="0.2">
      <c r="O428">
        <v>427</v>
      </c>
      <c r="P428" s="10">
        <v>1427.976684570312</v>
      </c>
    </row>
    <row r="429" spans="15:16" x14ac:dyDescent="0.2">
      <c r="O429" s="11">
        <v>428</v>
      </c>
      <c r="P429" s="10">
        <v>1460.275390625</v>
      </c>
    </row>
    <row r="430" spans="15:16" x14ac:dyDescent="0.2">
      <c r="O430">
        <v>429</v>
      </c>
      <c r="P430" s="10">
        <v>1469.59423828125</v>
      </c>
    </row>
    <row r="431" spans="15:16" x14ac:dyDescent="0.2">
      <c r="O431">
        <v>430</v>
      </c>
      <c r="P431" s="10">
        <v>1485.938720703125</v>
      </c>
    </row>
    <row r="432" spans="15:16" x14ac:dyDescent="0.2">
      <c r="O432" s="11">
        <v>431</v>
      </c>
      <c r="P432" s="10">
        <v>1478.278686523438</v>
      </c>
    </row>
    <row r="433" spans="15:16" x14ac:dyDescent="0.2">
      <c r="O433">
        <v>432</v>
      </c>
      <c r="P433" s="10">
        <v>1482.962524414062</v>
      </c>
    </row>
    <row r="434" spans="15:16" x14ac:dyDescent="0.2">
      <c r="O434">
        <v>433</v>
      </c>
      <c r="P434" s="10">
        <v>1503.893310546875</v>
      </c>
    </row>
    <row r="435" spans="15:16" x14ac:dyDescent="0.2">
      <c r="O435" s="11">
        <v>434</v>
      </c>
      <c r="P435" s="10">
        <v>1492.574096679688</v>
      </c>
    </row>
    <row r="436" spans="15:16" x14ac:dyDescent="0.2">
      <c r="O436">
        <v>435</v>
      </c>
      <c r="P436" s="10">
        <v>1498.5751953125</v>
      </c>
    </row>
    <row r="437" spans="15:16" x14ac:dyDescent="0.2">
      <c r="O437">
        <v>436</v>
      </c>
      <c r="P437" s="10">
        <v>1512.333862304688</v>
      </c>
    </row>
    <row r="438" spans="15:16" x14ac:dyDescent="0.2">
      <c r="O438" s="11">
        <v>437</v>
      </c>
      <c r="P438" s="10">
        <v>1502.33203125</v>
      </c>
    </row>
    <row r="439" spans="15:16" x14ac:dyDescent="0.2">
      <c r="O439">
        <v>438</v>
      </c>
      <c r="P439" s="10">
        <v>1487.939086914062</v>
      </c>
    </row>
    <row r="440" spans="15:16" x14ac:dyDescent="0.2">
      <c r="O440">
        <v>439</v>
      </c>
      <c r="P440" s="10">
        <v>1479.547241210938</v>
      </c>
    </row>
    <row r="441" spans="15:16" x14ac:dyDescent="0.2">
      <c r="O441" s="11">
        <v>440</v>
      </c>
      <c r="P441" s="10">
        <v>1496.91650390625</v>
      </c>
    </row>
    <row r="442" spans="15:16" x14ac:dyDescent="0.2">
      <c r="O442">
        <v>441</v>
      </c>
      <c r="P442" s="10">
        <v>1498.5751953125</v>
      </c>
    </row>
    <row r="443" spans="15:16" x14ac:dyDescent="0.2">
      <c r="O443">
        <v>442</v>
      </c>
      <c r="P443" s="10">
        <v>1492.525268554688</v>
      </c>
    </row>
    <row r="444" spans="15:16" x14ac:dyDescent="0.2">
      <c r="O444" s="11">
        <v>443</v>
      </c>
      <c r="P444" s="10">
        <v>1471.545776367188</v>
      </c>
    </row>
    <row r="445" spans="15:16" x14ac:dyDescent="0.2">
      <c r="O445">
        <v>444</v>
      </c>
      <c r="P445" s="10">
        <v>1489.35400390625</v>
      </c>
    </row>
    <row r="446" spans="15:16" x14ac:dyDescent="0.2">
      <c r="O446">
        <v>445</v>
      </c>
      <c r="P446" s="10">
        <v>1486.81689453125</v>
      </c>
    </row>
    <row r="447" spans="15:16" x14ac:dyDescent="0.2">
      <c r="O447" s="11">
        <v>446</v>
      </c>
      <c r="P447" s="10">
        <v>1489.890625</v>
      </c>
    </row>
    <row r="448" spans="15:16" x14ac:dyDescent="0.2">
      <c r="O448">
        <v>447</v>
      </c>
      <c r="P448" s="10">
        <v>1500.42919921875</v>
      </c>
    </row>
    <row r="449" spans="15:16" x14ac:dyDescent="0.2">
      <c r="O449">
        <v>448</v>
      </c>
      <c r="P449" s="10">
        <v>1493.940185546875</v>
      </c>
    </row>
    <row r="450" spans="15:16" x14ac:dyDescent="0.2">
      <c r="O450" s="11">
        <v>449</v>
      </c>
      <c r="P450" s="10">
        <v>1492.622924804688</v>
      </c>
    </row>
    <row r="451" spans="15:16" x14ac:dyDescent="0.2">
      <c r="O451">
        <v>450</v>
      </c>
      <c r="P451" s="10">
        <v>1515.749267578125</v>
      </c>
    </row>
    <row r="452" spans="15:16" x14ac:dyDescent="0.2">
      <c r="O452">
        <v>451</v>
      </c>
      <c r="P452" s="10">
        <v>1525.8486328125</v>
      </c>
    </row>
    <row r="453" spans="15:16" x14ac:dyDescent="0.2">
      <c r="O453" s="11">
        <v>452</v>
      </c>
      <c r="P453" s="10">
        <v>1589.616821289062</v>
      </c>
    </row>
    <row r="454" spans="15:16" x14ac:dyDescent="0.2">
      <c r="O454">
        <v>453</v>
      </c>
      <c r="P454" s="10">
        <v>1621.525268554688</v>
      </c>
    </row>
    <row r="455" spans="15:16" x14ac:dyDescent="0.2">
      <c r="O455">
        <v>454</v>
      </c>
      <c r="P455" s="10">
        <v>1603.131591796875</v>
      </c>
    </row>
    <row r="456" spans="15:16" x14ac:dyDescent="0.2">
      <c r="O456" s="11">
        <v>455</v>
      </c>
      <c r="P456" s="10">
        <v>1604.107421875</v>
      </c>
    </row>
    <row r="457" spans="15:16" x14ac:dyDescent="0.2">
      <c r="O457">
        <v>456</v>
      </c>
      <c r="P457" s="10">
        <v>1597.276733398438</v>
      </c>
    </row>
    <row r="458" spans="15:16" x14ac:dyDescent="0.2">
      <c r="O458">
        <v>457</v>
      </c>
      <c r="P458" s="10">
        <v>1592.30029296875</v>
      </c>
    </row>
    <row r="459" spans="15:16" x14ac:dyDescent="0.2">
      <c r="O459" s="11">
        <v>458</v>
      </c>
      <c r="P459" s="10">
        <v>1584.103515625</v>
      </c>
    </row>
    <row r="460" spans="15:16" x14ac:dyDescent="0.2">
      <c r="O460">
        <v>459</v>
      </c>
      <c r="P460" s="10">
        <v>1571.857299804688</v>
      </c>
    </row>
    <row r="461" spans="15:16" x14ac:dyDescent="0.2">
      <c r="O461">
        <v>460</v>
      </c>
      <c r="P461" s="10">
        <v>1556.87890625</v>
      </c>
    </row>
    <row r="462" spans="15:16" x14ac:dyDescent="0.2">
      <c r="O462" s="11">
        <v>461</v>
      </c>
      <c r="P462" s="10">
        <v>1536.777587890625</v>
      </c>
    </row>
    <row r="463" spans="15:16" x14ac:dyDescent="0.2">
      <c r="O463">
        <v>462</v>
      </c>
      <c r="P463" s="10">
        <v>1546.194091796875</v>
      </c>
    </row>
    <row r="464" spans="15:16" x14ac:dyDescent="0.2">
      <c r="O464">
        <v>463</v>
      </c>
      <c r="P464" s="10">
        <v>1536.582397460938</v>
      </c>
    </row>
    <row r="465" spans="15:16" x14ac:dyDescent="0.2">
      <c r="O465" s="11">
        <v>464</v>
      </c>
      <c r="P465" s="10">
        <v>1533.411010742188</v>
      </c>
    </row>
    <row r="466" spans="15:16" x14ac:dyDescent="0.2">
      <c r="O466">
        <v>465</v>
      </c>
      <c r="P466" s="10">
        <v>1540.485473632812</v>
      </c>
    </row>
    <row r="467" spans="15:16" x14ac:dyDescent="0.2">
      <c r="O467">
        <v>466</v>
      </c>
      <c r="P467" s="10">
        <v>1551.804809570312</v>
      </c>
    </row>
    <row r="468" spans="15:16" x14ac:dyDescent="0.2">
      <c r="O468" s="11">
        <v>467</v>
      </c>
      <c r="P468" s="10">
        <v>1539.55859375</v>
      </c>
    </row>
    <row r="469" spans="15:16" x14ac:dyDescent="0.2">
      <c r="O469">
        <v>468</v>
      </c>
      <c r="P469" s="10">
        <v>1523.701904296875</v>
      </c>
    </row>
    <row r="470" spans="15:16" x14ac:dyDescent="0.2">
      <c r="O470">
        <v>469</v>
      </c>
      <c r="P470" s="10">
        <v>1541.071044921875</v>
      </c>
    </row>
    <row r="471" spans="15:16" x14ac:dyDescent="0.2">
      <c r="O471" s="11">
        <v>470</v>
      </c>
      <c r="P471" s="10">
        <v>1548.1943359375</v>
      </c>
    </row>
    <row r="472" spans="15:16" x14ac:dyDescent="0.2">
      <c r="O472">
        <v>471</v>
      </c>
      <c r="P472" s="10">
        <v>1544.388671875</v>
      </c>
    </row>
    <row r="473" spans="15:16" x14ac:dyDescent="0.2">
      <c r="O473">
        <v>472</v>
      </c>
      <c r="P473" s="10">
        <v>1551.024169921875</v>
      </c>
    </row>
    <row r="474" spans="15:16" x14ac:dyDescent="0.2">
      <c r="O474" s="11">
        <v>473</v>
      </c>
      <c r="P474" s="10">
        <v>1552.243896484375</v>
      </c>
    </row>
    <row r="475" spans="15:16" x14ac:dyDescent="0.2">
      <c r="O475">
        <v>474</v>
      </c>
      <c r="P475" s="10">
        <v>1558.635498046875</v>
      </c>
    </row>
    <row r="476" spans="15:16" x14ac:dyDescent="0.2">
      <c r="O476">
        <v>475</v>
      </c>
      <c r="P476" s="10">
        <v>1567.31982421875</v>
      </c>
    </row>
    <row r="477" spans="15:16" x14ac:dyDescent="0.2">
      <c r="O477" s="11">
        <v>476</v>
      </c>
      <c r="P477" s="10">
        <v>1571.90625</v>
      </c>
    </row>
    <row r="478" spans="15:16" x14ac:dyDescent="0.2">
      <c r="O478">
        <v>477</v>
      </c>
      <c r="P478" s="10">
        <v>1579.614990234375</v>
      </c>
    </row>
    <row r="479" spans="15:16" x14ac:dyDescent="0.2">
      <c r="O479">
        <v>478</v>
      </c>
      <c r="P479" s="10">
        <v>1596.252197265625</v>
      </c>
    </row>
    <row r="480" spans="15:16" x14ac:dyDescent="0.2">
      <c r="O480" s="11">
        <v>479</v>
      </c>
      <c r="P480" s="10">
        <v>1610.547485351562</v>
      </c>
    </row>
    <row r="481" spans="15:16" x14ac:dyDescent="0.2">
      <c r="O481">
        <v>480</v>
      </c>
      <c r="P481" s="10">
        <v>1609.962158203125</v>
      </c>
    </row>
    <row r="482" spans="15:16" x14ac:dyDescent="0.2">
      <c r="O482">
        <v>481</v>
      </c>
      <c r="P482" s="10">
        <v>1611.279418945312</v>
      </c>
    </row>
    <row r="483" spans="15:16" x14ac:dyDescent="0.2">
      <c r="O483" s="11">
        <v>482</v>
      </c>
      <c r="P483" s="10">
        <v>1612.206420898438</v>
      </c>
    </row>
    <row r="484" spans="15:16" x14ac:dyDescent="0.2">
      <c r="O484">
        <v>483</v>
      </c>
      <c r="P484" s="10">
        <v>1589.2265625</v>
      </c>
    </row>
    <row r="485" spans="15:16" x14ac:dyDescent="0.2">
      <c r="O485">
        <v>484</v>
      </c>
      <c r="P485" s="10">
        <v>1600.789672851562</v>
      </c>
    </row>
    <row r="486" spans="15:16" x14ac:dyDescent="0.2">
      <c r="O486" s="11">
        <v>485</v>
      </c>
      <c r="P486" s="10">
        <v>1622.01318359375</v>
      </c>
    </row>
    <row r="487" spans="15:16" x14ac:dyDescent="0.2">
      <c r="O487">
        <v>486</v>
      </c>
      <c r="P487" s="10">
        <v>1611.230590820312</v>
      </c>
    </row>
    <row r="488" spans="15:16" x14ac:dyDescent="0.2">
      <c r="O488">
        <v>487</v>
      </c>
      <c r="P488" s="10">
        <v>1603.717041015625</v>
      </c>
    </row>
    <row r="489" spans="15:16" x14ac:dyDescent="0.2">
      <c r="O489" s="11">
        <v>488</v>
      </c>
      <c r="P489" s="10">
        <v>1632.649291992188</v>
      </c>
    </row>
    <row r="490" spans="15:16" x14ac:dyDescent="0.2">
      <c r="O490">
        <v>489</v>
      </c>
      <c r="P490" s="10">
        <v>1649.7744140625</v>
      </c>
    </row>
    <row r="491" spans="15:16" x14ac:dyDescent="0.2">
      <c r="O491">
        <v>490</v>
      </c>
      <c r="P491" s="10">
        <v>1655.531616210938</v>
      </c>
    </row>
    <row r="492" spans="15:16" x14ac:dyDescent="0.2">
      <c r="O492" s="11">
        <v>491</v>
      </c>
      <c r="P492" s="10">
        <v>1637.772216796875</v>
      </c>
    </row>
    <row r="493" spans="15:16" x14ac:dyDescent="0.2">
      <c r="O493">
        <v>492</v>
      </c>
      <c r="P493" s="10">
        <v>1635.186401367188</v>
      </c>
    </row>
    <row r="494" spans="15:16" x14ac:dyDescent="0.2">
      <c r="O494">
        <v>493</v>
      </c>
      <c r="P494" s="10">
        <v>1647.871704101562</v>
      </c>
    </row>
    <row r="495" spans="15:16" x14ac:dyDescent="0.2">
      <c r="O495" s="11">
        <v>494</v>
      </c>
      <c r="P495" s="10">
        <v>1644.31005859375</v>
      </c>
    </row>
    <row r="496" spans="15:16" x14ac:dyDescent="0.2">
      <c r="O496">
        <v>495</v>
      </c>
      <c r="P496" s="10">
        <v>1636.89404296875</v>
      </c>
    </row>
    <row r="497" spans="15:16" x14ac:dyDescent="0.2">
      <c r="O497">
        <v>496</v>
      </c>
      <c r="P497" s="10">
        <v>1638.260131835938</v>
      </c>
    </row>
    <row r="498" spans="15:16" x14ac:dyDescent="0.2">
      <c r="O498" s="11">
        <v>497</v>
      </c>
      <c r="P498" s="10">
        <v>1604.69287109375</v>
      </c>
    </row>
    <row r="499" spans="15:16" x14ac:dyDescent="0.2">
      <c r="O499">
        <v>498</v>
      </c>
      <c r="P499" s="10">
        <v>1601.375122070312</v>
      </c>
    </row>
    <row r="500" spans="15:16" x14ac:dyDescent="0.2">
      <c r="O500">
        <v>499</v>
      </c>
      <c r="P500" s="10">
        <v>1593.42236328125</v>
      </c>
    </row>
    <row r="501" spans="15:16" x14ac:dyDescent="0.2">
      <c r="O501" s="11">
        <v>500</v>
      </c>
      <c r="P501" s="10">
        <v>1608.498413085938</v>
      </c>
    </row>
    <row r="502" spans="15:16" x14ac:dyDescent="0.2">
      <c r="O502">
        <v>501</v>
      </c>
      <c r="P502" s="10">
        <v>1616.353515625</v>
      </c>
    </row>
    <row r="503" spans="15:16" x14ac:dyDescent="0.2">
      <c r="O503">
        <v>502</v>
      </c>
      <c r="P503" s="10">
        <v>1620.2080078125</v>
      </c>
    </row>
    <row r="504" spans="15:16" x14ac:dyDescent="0.2">
      <c r="O504" s="11">
        <v>503</v>
      </c>
      <c r="P504" s="10">
        <v>1634.45458984375</v>
      </c>
    </row>
    <row r="505" spans="15:16" x14ac:dyDescent="0.2">
      <c r="O505">
        <v>504</v>
      </c>
      <c r="P505" s="10">
        <v>1632.795654296875</v>
      </c>
    </row>
    <row r="506" spans="15:16" x14ac:dyDescent="0.2">
      <c r="O506">
        <v>505</v>
      </c>
      <c r="P506" s="10">
        <v>1686.36669921875</v>
      </c>
    </row>
    <row r="507" spans="15:16" x14ac:dyDescent="0.2">
      <c r="O507" s="11">
        <v>506</v>
      </c>
      <c r="P507" s="10">
        <v>1678.170166015625</v>
      </c>
    </row>
    <row r="508" spans="15:16" x14ac:dyDescent="0.2">
      <c r="O508">
        <v>507</v>
      </c>
      <c r="P508" s="10">
        <v>1660.215454101562</v>
      </c>
    </row>
    <row r="509" spans="15:16" x14ac:dyDescent="0.2">
      <c r="O509">
        <v>508</v>
      </c>
      <c r="P509" s="10">
        <v>1635.576782226562</v>
      </c>
    </row>
    <row r="510" spans="15:16" x14ac:dyDescent="0.2">
      <c r="O510" s="11">
        <v>509</v>
      </c>
      <c r="P510" s="10">
        <v>1618.451538085938</v>
      </c>
    </row>
    <row r="511" spans="15:16" x14ac:dyDescent="0.2">
      <c r="O511">
        <v>510</v>
      </c>
      <c r="P511" s="10">
        <v>1595.95947265625</v>
      </c>
    </row>
    <row r="512" spans="15:16" x14ac:dyDescent="0.2">
      <c r="O512">
        <v>511</v>
      </c>
      <c r="P512" s="10">
        <v>1603.717041015625</v>
      </c>
    </row>
    <row r="513" spans="15:16" x14ac:dyDescent="0.2">
      <c r="O513" s="11">
        <v>512</v>
      </c>
      <c r="P513" s="10">
        <v>1603.814575195312</v>
      </c>
    </row>
    <row r="514" spans="15:16" x14ac:dyDescent="0.2">
      <c r="O514">
        <v>513</v>
      </c>
      <c r="P514" s="10">
        <v>1596.00830078125</v>
      </c>
    </row>
    <row r="515" spans="15:16" x14ac:dyDescent="0.2">
      <c r="O515">
        <v>514</v>
      </c>
      <c r="P515" s="10">
        <v>1568.588500976562</v>
      </c>
    </row>
    <row r="516" spans="15:16" x14ac:dyDescent="0.2">
      <c r="O516" s="11">
        <v>515</v>
      </c>
      <c r="P516" s="10">
        <v>1565.319580078125</v>
      </c>
    </row>
    <row r="517" spans="15:16" x14ac:dyDescent="0.2">
      <c r="O517">
        <v>516</v>
      </c>
      <c r="P517" s="10">
        <v>1563.953369140625</v>
      </c>
    </row>
    <row r="518" spans="15:16" x14ac:dyDescent="0.2">
      <c r="O518">
        <v>517</v>
      </c>
      <c r="P518" s="10">
        <v>1543.754516601562</v>
      </c>
    </row>
    <row r="519" spans="15:16" x14ac:dyDescent="0.2">
      <c r="O519" s="11">
        <v>518</v>
      </c>
      <c r="P519" s="10">
        <v>1562.9775390625</v>
      </c>
    </row>
    <row r="520" spans="15:16" x14ac:dyDescent="0.2">
      <c r="O520">
        <v>519</v>
      </c>
      <c r="P520" s="10">
        <v>1564.685180664062</v>
      </c>
    </row>
    <row r="521" spans="15:16" x14ac:dyDescent="0.2">
      <c r="O521">
        <v>520</v>
      </c>
      <c r="P521" s="10">
        <v>1562.050659179688</v>
      </c>
    </row>
    <row r="522" spans="15:16" x14ac:dyDescent="0.2">
      <c r="O522" s="11">
        <v>521</v>
      </c>
      <c r="P522" s="10">
        <v>1571.613403320312</v>
      </c>
    </row>
    <row r="523" spans="15:16" x14ac:dyDescent="0.2">
      <c r="O523">
        <v>522</v>
      </c>
      <c r="P523" s="10">
        <v>1569.75927734375</v>
      </c>
    </row>
    <row r="524" spans="15:16" x14ac:dyDescent="0.2">
      <c r="O524">
        <v>523</v>
      </c>
      <c r="P524" s="10">
        <v>1568.783569335938</v>
      </c>
    </row>
    <row r="525" spans="15:16" x14ac:dyDescent="0.2">
      <c r="O525" s="11">
        <v>524</v>
      </c>
      <c r="P525" s="10">
        <v>1560.6845703125</v>
      </c>
    </row>
    <row r="526" spans="15:16" x14ac:dyDescent="0.2">
      <c r="O526">
        <v>525</v>
      </c>
      <c r="P526" s="10">
        <v>1565.5634765625</v>
      </c>
    </row>
    <row r="527" spans="15:16" x14ac:dyDescent="0.2">
      <c r="O527">
        <v>526</v>
      </c>
      <c r="P527" s="10">
        <v>1567.612670898438</v>
      </c>
    </row>
    <row r="528" spans="15:16" x14ac:dyDescent="0.2">
      <c r="O528" s="11">
        <v>527</v>
      </c>
      <c r="P528" s="10">
        <v>1565.173095703125</v>
      </c>
    </row>
    <row r="529" spans="15:16" x14ac:dyDescent="0.2">
      <c r="O529">
        <v>528</v>
      </c>
      <c r="P529" s="10">
        <v>1571.857299804688</v>
      </c>
    </row>
    <row r="530" spans="15:16" x14ac:dyDescent="0.2">
      <c r="O530">
        <v>529</v>
      </c>
      <c r="P530" s="10">
        <v>1597.13037109375</v>
      </c>
    </row>
    <row r="531" spans="15:16" x14ac:dyDescent="0.2">
      <c r="O531" s="11">
        <v>530</v>
      </c>
      <c r="P531" s="10">
        <v>1595.91064453125</v>
      </c>
    </row>
    <row r="532" spans="15:16" x14ac:dyDescent="0.2">
      <c r="O532">
        <v>531</v>
      </c>
      <c r="P532" s="10">
        <v>1576.687622070312</v>
      </c>
    </row>
    <row r="533" spans="15:16" x14ac:dyDescent="0.2">
      <c r="O533">
        <v>532</v>
      </c>
      <c r="P533" s="10">
        <v>1570.637573242188</v>
      </c>
    </row>
    <row r="534" spans="15:16" x14ac:dyDescent="0.2">
      <c r="O534" s="11">
        <v>533</v>
      </c>
      <c r="P534" s="10">
        <v>1576.687622070312</v>
      </c>
    </row>
    <row r="535" spans="15:16" x14ac:dyDescent="0.2">
      <c r="O535">
        <v>534</v>
      </c>
      <c r="P535" s="10">
        <v>1597.569458007812</v>
      </c>
    </row>
    <row r="536" spans="15:16" x14ac:dyDescent="0.2">
      <c r="O536">
        <v>535</v>
      </c>
      <c r="P536" s="10">
        <v>1601.326293945312</v>
      </c>
    </row>
    <row r="537" spans="15:16" x14ac:dyDescent="0.2">
      <c r="O537" s="11">
        <v>536</v>
      </c>
      <c r="P537" s="10">
        <v>1607.034790039062</v>
      </c>
    </row>
    <row r="538" spans="15:16" x14ac:dyDescent="0.2">
      <c r="O538">
        <v>537</v>
      </c>
      <c r="P538" s="10">
        <v>1605.1806640625</v>
      </c>
    </row>
    <row r="539" spans="15:16" x14ac:dyDescent="0.2">
      <c r="O539">
        <v>538</v>
      </c>
      <c r="P539" s="10">
        <v>1598.789184570312</v>
      </c>
    </row>
    <row r="540" spans="15:16" x14ac:dyDescent="0.2">
      <c r="O540" s="11">
        <v>539</v>
      </c>
      <c r="P540" s="10">
        <v>1607.425170898438</v>
      </c>
    </row>
    <row r="541" spans="15:16" x14ac:dyDescent="0.2">
      <c r="O541">
        <v>540</v>
      </c>
      <c r="P541" s="10">
        <v>1616.695068359375</v>
      </c>
    </row>
    <row r="542" spans="15:16" x14ac:dyDescent="0.2">
      <c r="O542">
        <v>541</v>
      </c>
      <c r="P542" s="10">
        <v>1608.977294921875</v>
      </c>
    </row>
    <row r="543" spans="15:16" x14ac:dyDescent="0.2">
      <c r="O543" s="11">
        <v>542</v>
      </c>
      <c r="P543" s="10">
        <v>1594.892211914062</v>
      </c>
    </row>
    <row r="544" spans="15:16" x14ac:dyDescent="0.2">
      <c r="O544">
        <v>543</v>
      </c>
      <c r="P544" s="10">
        <v>1593.830932617188</v>
      </c>
    </row>
    <row r="545" spans="15:16" x14ac:dyDescent="0.2">
      <c r="O545">
        <v>544</v>
      </c>
      <c r="P545" s="10">
        <v>1586.4990234375</v>
      </c>
    </row>
    <row r="546" spans="15:16" x14ac:dyDescent="0.2">
      <c r="O546" s="11">
        <v>545</v>
      </c>
      <c r="P546" s="10">
        <v>1586.45068359375</v>
      </c>
    </row>
    <row r="547" spans="15:16" x14ac:dyDescent="0.2">
      <c r="O547">
        <v>546</v>
      </c>
      <c r="P547" s="10">
        <v>1568.313842773438</v>
      </c>
    </row>
    <row r="548" spans="15:16" x14ac:dyDescent="0.2">
      <c r="O548">
        <v>547</v>
      </c>
      <c r="P548" s="10">
        <v>1666.861083984375</v>
      </c>
    </row>
    <row r="549" spans="15:16" x14ac:dyDescent="0.2">
      <c r="O549" s="11">
        <v>548</v>
      </c>
      <c r="P549" s="10">
        <v>1633.433227539062</v>
      </c>
    </row>
    <row r="550" spans="15:16" x14ac:dyDescent="0.2">
      <c r="O550">
        <v>549</v>
      </c>
      <c r="P550" s="10">
        <v>1627.741333007812</v>
      </c>
    </row>
    <row r="551" spans="15:16" x14ac:dyDescent="0.2">
      <c r="O551">
        <v>550</v>
      </c>
      <c r="P551" s="10">
        <v>1628.078735351562</v>
      </c>
    </row>
    <row r="552" spans="15:16" x14ac:dyDescent="0.2">
      <c r="O552" s="11">
        <v>551</v>
      </c>
      <c r="P552" s="10">
        <v>1621.711669921875</v>
      </c>
    </row>
    <row r="553" spans="15:16" x14ac:dyDescent="0.2">
      <c r="O553">
        <v>552</v>
      </c>
      <c r="P553" s="10">
        <v>1612.836181640625</v>
      </c>
    </row>
    <row r="554" spans="15:16" x14ac:dyDescent="0.2">
      <c r="O554">
        <v>553</v>
      </c>
      <c r="P554" s="10">
        <v>1605.455932617188</v>
      </c>
    </row>
    <row r="555" spans="15:16" x14ac:dyDescent="0.2">
      <c r="O555" s="11">
        <v>554</v>
      </c>
      <c r="P555" s="10">
        <v>1628.609375</v>
      </c>
    </row>
    <row r="556" spans="15:16" x14ac:dyDescent="0.2">
      <c r="O556">
        <v>555</v>
      </c>
      <c r="P556" s="10">
        <v>1615.537475585938</v>
      </c>
    </row>
    <row r="557" spans="15:16" x14ac:dyDescent="0.2">
      <c r="O557">
        <v>556</v>
      </c>
      <c r="P557" s="10">
        <v>1612.9326171875</v>
      </c>
    </row>
    <row r="558" spans="15:16" x14ac:dyDescent="0.2">
      <c r="O558" s="11">
        <v>557</v>
      </c>
      <c r="P558" s="10">
        <v>1606.951171875</v>
      </c>
    </row>
    <row r="559" spans="15:16" x14ac:dyDescent="0.2">
      <c r="O559">
        <v>558</v>
      </c>
      <c r="P559" s="10">
        <v>1601.06640625</v>
      </c>
    </row>
    <row r="560" spans="15:16" x14ac:dyDescent="0.2">
      <c r="O560">
        <v>559</v>
      </c>
      <c r="P560" s="10">
        <v>1607.867797851562</v>
      </c>
    </row>
    <row r="561" spans="15:16" x14ac:dyDescent="0.2">
      <c r="O561" s="11">
        <v>560</v>
      </c>
      <c r="P561" s="10">
        <v>1632.7578125</v>
      </c>
    </row>
    <row r="562" spans="15:16" x14ac:dyDescent="0.2">
      <c r="O562">
        <v>561</v>
      </c>
      <c r="P562" s="10">
        <v>1625.47412109375</v>
      </c>
    </row>
    <row r="563" spans="15:16" x14ac:dyDescent="0.2">
      <c r="O563">
        <v>562</v>
      </c>
      <c r="P563" s="10">
        <v>1604.635986328125</v>
      </c>
    </row>
    <row r="564" spans="15:16" x14ac:dyDescent="0.2">
      <c r="O564" s="11">
        <v>563</v>
      </c>
      <c r="P564" s="10">
        <v>1599.956909179688</v>
      </c>
    </row>
    <row r="565" spans="15:16" x14ac:dyDescent="0.2">
      <c r="O565">
        <v>564</v>
      </c>
      <c r="P565" s="10">
        <v>1607.578369140625</v>
      </c>
    </row>
    <row r="566" spans="15:16" x14ac:dyDescent="0.2">
      <c r="O566">
        <v>565</v>
      </c>
      <c r="P566" s="10">
        <v>1595.422729492188</v>
      </c>
    </row>
    <row r="567" spans="15:16" x14ac:dyDescent="0.2">
      <c r="O567" s="11">
        <v>566</v>
      </c>
      <c r="P567" s="10">
        <v>1553.746337890625</v>
      </c>
    </row>
    <row r="568" spans="15:16" x14ac:dyDescent="0.2">
      <c r="O568">
        <v>567</v>
      </c>
      <c r="P568" s="10">
        <v>1552.78173828125</v>
      </c>
    </row>
    <row r="569" spans="15:16" x14ac:dyDescent="0.2">
      <c r="O569">
        <v>568</v>
      </c>
      <c r="P569" s="10">
        <v>1531.798828125</v>
      </c>
    </row>
    <row r="570" spans="15:16" x14ac:dyDescent="0.2">
      <c r="O570" s="11">
        <v>569</v>
      </c>
      <c r="P570" s="10">
        <v>1524.466796875</v>
      </c>
    </row>
    <row r="571" spans="15:16" x14ac:dyDescent="0.2">
      <c r="O571">
        <v>570</v>
      </c>
      <c r="P571" s="10">
        <v>1512.16650390625</v>
      </c>
    </row>
    <row r="572" spans="15:16" x14ac:dyDescent="0.2">
      <c r="O572">
        <v>571</v>
      </c>
      <c r="P572" s="10">
        <v>1505.6064453125</v>
      </c>
    </row>
    <row r="573" spans="15:16" x14ac:dyDescent="0.2">
      <c r="O573" s="11">
        <v>572</v>
      </c>
      <c r="P573" s="10">
        <v>1508.018188476562</v>
      </c>
    </row>
    <row r="574" spans="15:16" x14ac:dyDescent="0.2">
      <c r="O574">
        <v>573</v>
      </c>
      <c r="P574" s="10">
        <v>1520.222045898438</v>
      </c>
    </row>
    <row r="575" spans="15:16" x14ac:dyDescent="0.2">
      <c r="O575">
        <v>574</v>
      </c>
      <c r="P575" s="10">
        <v>1523.7431640625</v>
      </c>
    </row>
    <row r="576" spans="15:16" x14ac:dyDescent="0.2">
      <c r="O576" s="11">
        <v>575</v>
      </c>
      <c r="P576" s="10">
        <v>1506.667602539062</v>
      </c>
    </row>
    <row r="577" spans="15:16" x14ac:dyDescent="0.2">
      <c r="O577">
        <v>576</v>
      </c>
      <c r="P577" s="10">
        <v>1517.18310546875</v>
      </c>
    </row>
    <row r="578" spans="15:16" x14ac:dyDescent="0.2">
      <c r="O578">
        <v>577</v>
      </c>
      <c r="P578" s="10">
        <v>1497.164916992188</v>
      </c>
    </row>
    <row r="579" spans="15:16" x14ac:dyDescent="0.2">
      <c r="O579" s="11">
        <v>578</v>
      </c>
      <c r="P579" s="10">
        <v>1487.517700195312</v>
      </c>
    </row>
    <row r="580" spans="15:16" x14ac:dyDescent="0.2">
      <c r="O580">
        <v>579</v>
      </c>
      <c r="P580" s="10">
        <v>1509.175903320312</v>
      </c>
    </row>
    <row r="581" spans="15:16" x14ac:dyDescent="0.2">
      <c r="O581">
        <v>580</v>
      </c>
      <c r="P581" s="10">
        <v>1513.227783203125</v>
      </c>
    </row>
    <row r="582" spans="15:16" x14ac:dyDescent="0.2">
      <c r="O582" s="11">
        <v>581</v>
      </c>
      <c r="P582" s="10">
        <v>1532.618774414062</v>
      </c>
    </row>
    <row r="583" spans="15:16" x14ac:dyDescent="0.2">
      <c r="O583">
        <v>582</v>
      </c>
      <c r="P583" s="10">
        <v>1573.185668945312</v>
      </c>
    </row>
    <row r="584" spans="15:16" x14ac:dyDescent="0.2">
      <c r="O584">
        <v>583</v>
      </c>
      <c r="P584" s="10">
        <v>1573.041015625</v>
      </c>
    </row>
    <row r="585" spans="15:16" x14ac:dyDescent="0.2">
      <c r="O585" s="11">
        <v>584</v>
      </c>
      <c r="P585" s="10">
        <v>1569.90576171875</v>
      </c>
    </row>
    <row r="586" spans="15:16" x14ac:dyDescent="0.2">
      <c r="O586">
        <v>585</v>
      </c>
      <c r="P586" s="10">
        <v>1558.90771484375</v>
      </c>
    </row>
    <row r="587" spans="15:16" x14ac:dyDescent="0.2">
      <c r="O587">
        <v>586</v>
      </c>
      <c r="P587" s="10">
        <v>1528.56689453125</v>
      </c>
    </row>
    <row r="588" spans="15:16" x14ac:dyDescent="0.2">
      <c r="O588" s="11">
        <v>587</v>
      </c>
      <c r="P588" s="10">
        <v>1541.687377929688</v>
      </c>
    </row>
    <row r="589" spans="15:16" x14ac:dyDescent="0.2">
      <c r="O589">
        <v>588</v>
      </c>
      <c r="P589" s="10">
        <v>1543.1826171875</v>
      </c>
    </row>
    <row r="590" spans="15:16" x14ac:dyDescent="0.2">
      <c r="O590">
        <v>589</v>
      </c>
      <c r="P590" s="10">
        <v>1536.718994140625</v>
      </c>
    </row>
    <row r="591" spans="15:16" x14ac:dyDescent="0.2">
      <c r="O591" s="11">
        <v>590</v>
      </c>
      <c r="P591" s="10">
        <v>1532.908203125</v>
      </c>
    </row>
    <row r="592" spans="15:16" x14ac:dyDescent="0.2">
      <c r="O592">
        <v>591</v>
      </c>
      <c r="P592" s="10">
        <v>1546.703857421875</v>
      </c>
    </row>
    <row r="593" spans="15:16" x14ac:dyDescent="0.2">
      <c r="O593">
        <v>592</v>
      </c>
      <c r="P593" s="10">
        <v>1557.267578125</v>
      </c>
    </row>
    <row r="594" spans="15:16" x14ac:dyDescent="0.2">
      <c r="O594" s="11">
        <v>593</v>
      </c>
      <c r="P594" s="10">
        <v>1588.428466796875</v>
      </c>
    </row>
    <row r="595" spans="15:16" x14ac:dyDescent="0.2">
      <c r="O595">
        <v>594</v>
      </c>
      <c r="P595" s="10">
        <v>1582.495361328125</v>
      </c>
    </row>
    <row r="596" spans="15:16" x14ac:dyDescent="0.2">
      <c r="O596">
        <v>595</v>
      </c>
      <c r="P596" s="10">
        <v>1597.496948242188</v>
      </c>
    </row>
    <row r="597" spans="15:16" x14ac:dyDescent="0.2">
      <c r="O597" s="11">
        <v>596</v>
      </c>
      <c r="P597" s="10">
        <v>1605.552368164062</v>
      </c>
    </row>
    <row r="598" spans="15:16" x14ac:dyDescent="0.2">
      <c r="O598">
        <v>597</v>
      </c>
      <c r="P598" s="10">
        <v>1611.389038085938</v>
      </c>
    </row>
    <row r="599" spans="15:16" x14ac:dyDescent="0.2">
      <c r="O599">
        <v>598</v>
      </c>
      <c r="P599" s="10">
        <v>1614.669067382812</v>
      </c>
    </row>
    <row r="600" spans="15:16" x14ac:dyDescent="0.2">
      <c r="O600" s="11">
        <v>599</v>
      </c>
      <c r="P600" s="10">
        <v>1599.860473632812</v>
      </c>
    </row>
    <row r="601" spans="15:16" x14ac:dyDescent="0.2">
      <c r="O601">
        <v>600</v>
      </c>
      <c r="P601" s="10">
        <v>1598.654541015625</v>
      </c>
    </row>
    <row r="602" spans="15:16" x14ac:dyDescent="0.2">
      <c r="O602">
        <v>601</v>
      </c>
      <c r="P602" s="10">
        <v>1592.335571289062</v>
      </c>
    </row>
    <row r="603" spans="15:16" x14ac:dyDescent="0.2">
      <c r="O603" s="11">
        <v>602</v>
      </c>
      <c r="P603" s="10">
        <v>1595.663940429688</v>
      </c>
    </row>
    <row r="604" spans="15:16" x14ac:dyDescent="0.2">
      <c r="O604">
        <v>603</v>
      </c>
      <c r="P604" s="10">
        <v>1595.856811523438</v>
      </c>
    </row>
    <row r="605" spans="15:16" x14ac:dyDescent="0.2">
      <c r="O605">
        <v>604</v>
      </c>
      <c r="P605" s="10">
        <v>1593.493286132812</v>
      </c>
    </row>
    <row r="606" spans="15:16" x14ac:dyDescent="0.2">
      <c r="O606" s="11">
        <v>605</v>
      </c>
      <c r="P606" s="10">
        <v>1600.294555664062</v>
      </c>
    </row>
    <row r="607" spans="15:16" x14ac:dyDescent="0.2">
      <c r="O607">
        <v>606</v>
      </c>
      <c r="P607" s="10">
        <v>1546.80029296875</v>
      </c>
    </row>
    <row r="608" spans="15:16" x14ac:dyDescent="0.2">
      <c r="O608">
        <v>607</v>
      </c>
      <c r="P608" s="10">
        <v>1570.146850585938</v>
      </c>
    </row>
    <row r="609" spans="15:16" x14ac:dyDescent="0.2">
      <c r="O609" s="11">
        <v>608</v>
      </c>
      <c r="P609" s="10">
        <v>1546.944946289062</v>
      </c>
    </row>
    <row r="610" spans="15:16" x14ac:dyDescent="0.2">
      <c r="O610">
        <v>609</v>
      </c>
      <c r="P610" s="10">
        <v>1557.219482421875</v>
      </c>
    </row>
    <row r="611" spans="15:16" x14ac:dyDescent="0.2">
      <c r="O611">
        <v>610</v>
      </c>
      <c r="P611" s="10">
        <v>1558.811279296875</v>
      </c>
    </row>
    <row r="612" spans="15:16" x14ac:dyDescent="0.2">
      <c r="O612" s="11">
        <v>611</v>
      </c>
      <c r="P612" s="10">
        <v>1590.502685546875</v>
      </c>
    </row>
    <row r="613" spans="15:16" x14ac:dyDescent="0.2">
      <c r="O613">
        <v>612</v>
      </c>
      <c r="P613" s="10">
        <v>1635.7001953125</v>
      </c>
    </row>
    <row r="614" spans="15:16" x14ac:dyDescent="0.2">
      <c r="O614">
        <v>613</v>
      </c>
      <c r="P614" s="10">
        <v>1614.090209960938</v>
      </c>
    </row>
    <row r="615" spans="15:16" x14ac:dyDescent="0.2">
      <c r="O615" s="11">
        <v>614</v>
      </c>
      <c r="P615" s="10">
        <v>1602.36865234375</v>
      </c>
    </row>
    <row r="616" spans="15:16" x14ac:dyDescent="0.2">
      <c r="O616">
        <v>615</v>
      </c>
      <c r="P616" s="10">
        <v>1586.113037109375</v>
      </c>
    </row>
    <row r="617" spans="15:16" x14ac:dyDescent="0.2">
      <c r="O617">
        <v>616</v>
      </c>
      <c r="P617" s="10">
        <v>1579.552856445312</v>
      </c>
    </row>
    <row r="618" spans="15:16" x14ac:dyDescent="0.2">
      <c r="O618" s="11">
        <v>617</v>
      </c>
      <c r="P618" s="10">
        <v>1552.154663085938</v>
      </c>
    </row>
    <row r="619" spans="15:16" x14ac:dyDescent="0.2">
      <c r="O619">
        <v>618</v>
      </c>
      <c r="P619" s="10">
        <v>1529.386962890625</v>
      </c>
    </row>
    <row r="620" spans="15:16" x14ac:dyDescent="0.2">
      <c r="O620">
        <v>619</v>
      </c>
      <c r="P620" s="10">
        <v>1544.195678710938</v>
      </c>
    </row>
    <row r="621" spans="15:16" x14ac:dyDescent="0.2">
      <c r="O621" s="11">
        <v>620</v>
      </c>
      <c r="P621" s="10">
        <v>1542.98974609375</v>
      </c>
    </row>
    <row r="622" spans="15:16" x14ac:dyDescent="0.2">
      <c r="O622">
        <v>621</v>
      </c>
      <c r="P622" s="10">
        <v>1534.78955078125</v>
      </c>
    </row>
    <row r="623" spans="15:16" x14ac:dyDescent="0.2">
      <c r="O623">
        <v>622</v>
      </c>
      <c r="P623" s="10">
        <v>1512.986572265625</v>
      </c>
    </row>
    <row r="624" spans="15:16" x14ac:dyDescent="0.2">
      <c r="O624" s="11">
        <v>623</v>
      </c>
      <c r="P624" s="10">
        <v>1541.156616210938</v>
      </c>
    </row>
    <row r="625" spans="15:16" x14ac:dyDescent="0.2">
      <c r="O625">
        <v>624</v>
      </c>
      <c r="P625" s="10">
        <v>1538.166015625</v>
      </c>
    </row>
    <row r="626" spans="15:16" x14ac:dyDescent="0.2">
      <c r="O626">
        <v>625</v>
      </c>
      <c r="P626" s="10">
        <v>1543.279052734375</v>
      </c>
    </row>
    <row r="627" spans="15:16" x14ac:dyDescent="0.2">
      <c r="O627" s="11">
        <v>626</v>
      </c>
      <c r="P627" s="10">
        <v>1553.264038085938</v>
      </c>
    </row>
    <row r="628" spans="15:16" x14ac:dyDescent="0.2">
      <c r="O628">
        <v>627</v>
      </c>
      <c r="P628" s="10">
        <v>1581.530639648438</v>
      </c>
    </row>
    <row r="629" spans="15:16" x14ac:dyDescent="0.2">
      <c r="O629">
        <v>628</v>
      </c>
      <c r="P629" s="10">
        <v>1571.256103515625</v>
      </c>
    </row>
    <row r="630" spans="15:16" x14ac:dyDescent="0.2">
      <c r="O630" s="11">
        <v>629</v>
      </c>
      <c r="P630" s="10">
        <v>1570.725708007812</v>
      </c>
    </row>
    <row r="631" spans="15:16" x14ac:dyDescent="0.2">
      <c r="O631">
        <v>630</v>
      </c>
      <c r="P631" s="10">
        <v>1583.411987304688</v>
      </c>
    </row>
    <row r="632" spans="15:16" x14ac:dyDescent="0.2">
      <c r="O632">
        <v>631</v>
      </c>
      <c r="P632" s="10">
        <v>1572.317626953125</v>
      </c>
    </row>
    <row r="633" spans="15:16" x14ac:dyDescent="0.2">
      <c r="O633" s="11">
        <v>632</v>
      </c>
      <c r="P633" s="10">
        <v>1573.571655273438</v>
      </c>
    </row>
    <row r="634" spans="15:16" x14ac:dyDescent="0.2">
      <c r="O634">
        <v>633</v>
      </c>
      <c r="P634" s="10">
        <v>1571.979858398438</v>
      </c>
    </row>
    <row r="635" spans="15:16" x14ac:dyDescent="0.2">
      <c r="O635">
        <v>634</v>
      </c>
      <c r="P635" s="10">
        <v>1541.301391601562</v>
      </c>
    </row>
    <row r="636" spans="15:16" x14ac:dyDescent="0.2">
      <c r="O636" s="11">
        <v>635</v>
      </c>
      <c r="P636" s="10">
        <v>1555.193603515625</v>
      </c>
    </row>
    <row r="637" spans="15:16" x14ac:dyDescent="0.2">
      <c r="O637">
        <v>636</v>
      </c>
      <c r="P637" s="10">
        <v>1560.547607421875</v>
      </c>
    </row>
    <row r="638" spans="15:16" x14ac:dyDescent="0.2">
      <c r="O638">
        <v>637</v>
      </c>
      <c r="P638" s="10">
        <v>1575.790649414062</v>
      </c>
    </row>
    <row r="639" spans="15:16" x14ac:dyDescent="0.2">
      <c r="O639" s="11">
        <v>638</v>
      </c>
      <c r="P639" s="10">
        <v>1586.740234375</v>
      </c>
    </row>
    <row r="640" spans="15:16" x14ac:dyDescent="0.2">
      <c r="O640">
        <v>639</v>
      </c>
      <c r="P640" s="10">
        <v>1581.820068359375</v>
      </c>
    </row>
    <row r="641" spans="15:16" x14ac:dyDescent="0.2">
      <c r="O641">
        <v>640</v>
      </c>
      <c r="P641" s="10">
        <v>1574.246948242188</v>
      </c>
    </row>
    <row r="642" spans="15:16" x14ac:dyDescent="0.2">
      <c r="O642" s="11">
        <v>641</v>
      </c>
      <c r="P642" s="10">
        <v>1603.622924804688</v>
      </c>
    </row>
    <row r="643" spans="15:16" x14ac:dyDescent="0.2">
      <c r="O643">
        <v>642</v>
      </c>
      <c r="P643" s="10">
        <v>1590.164916992188</v>
      </c>
    </row>
    <row r="644" spans="15:16" x14ac:dyDescent="0.2">
      <c r="O644">
        <v>643</v>
      </c>
      <c r="P644" s="10">
        <v>1585.775390625</v>
      </c>
    </row>
    <row r="645" spans="15:16" x14ac:dyDescent="0.2">
      <c r="O645" s="11">
        <v>644</v>
      </c>
      <c r="P645" s="10">
        <v>1573.5234375</v>
      </c>
    </row>
    <row r="646" spans="15:16" x14ac:dyDescent="0.2">
      <c r="O646">
        <v>645</v>
      </c>
      <c r="P646" s="10">
        <v>1562.380737304688</v>
      </c>
    </row>
    <row r="647" spans="15:16" x14ac:dyDescent="0.2">
      <c r="O647">
        <v>646</v>
      </c>
      <c r="P647" s="10">
        <v>1553.64990234375</v>
      </c>
    </row>
    <row r="648" spans="15:16" x14ac:dyDescent="0.2">
      <c r="O648" s="11">
        <v>647</v>
      </c>
      <c r="P648" s="10">
        <v>1554.3251953125</v>
      </c>
    </row>
    <row r="649" spans="15:16" x14ac:dyDescent="0.2">
      <c r="O649">
        <v>648</v>
      </c>
      <c r="P649" s="10">
        <v>1556.061767578125</v>
      </c>
    </row>
    <row r="650" spans="15:16" x14ac:dyDescent="0.2">
      <c r="O650">
        <v>649</v>
      </c>
      <c r="P650" s="10">
        <v>1550.418090820312</v>
      </c>
    </row>
    <row r="651" spans="15:16" x14ac:dyDescent="0.2">
      <c r="O651" s="11">
        <v>650</v>
      </c>
      <c r="P651" s="10">
        <v>1562.380737304688</v>
      </c>
    </row>
    <row r="652" spans="15:16" x14ac:dyDescent="0.2">
      <c r="O652">
        <v>651</v>
      </c>
      <c r="P652" s="10">
        <v>1551.720458984375</v>
      </c>
    </row>
    <row r="653" spans="15:16" x14ac:dyDescent="0.2">
      <c r="O653">
        <v>652</v>
      </c>
      <c r="P653" s="10">
        <v>1541.494262695312</v>
      </c>
    </row>
    <row r="654" spans="15:16" x14ac:dyDescent="0.2">
      <c r="O654" s="11">
        <v>653</v>
      </c>
      <c r="P654" s="10">
        <v>1543.809692382812</v>
      </c>
    </row>
    <row r="655" spans="15:16" x14ac:dyDescent="0.2">
      <c r="O655">
        <v>654</v>
      </c>
      <c r="P655" s="10">
        <v>1560.596069335938</v>
      </c>
    </row>
    <row r="656" spans="15:16" x14ac:dyDescent="0.2">
      <c r="O656">
        <v>655</v>
      </c>
      <c r="P656" s="10">
        <v>1567.83154296875</v>
      </c>
    </row>
    <row r="657" spans="15:16" x14ac:dyDescent="0.2">
      <c r="O657" s="11">
        <v>656</v>
      </c>
      <c r="P657" s="10">
        <v>1542.748413085938</v>
      </c>
    </row>
    <row r="658" spans="15:16" x14ac:dyDescent="0.2">
      <c r="O658">
        <v>657</v>
      </c>
      <c r="P658" s="10">
        <v>1538.744750976562</v>
      </c>
    </row>
    <row r="659" spans="15:16" x14ac:dyDescent="0.2">
      <c r="O659">
        <v>658</v>
      </c>
      <c r="P659" s="10">
        <v>1541.011962890625</v>
      </c>
    </row>
    <row r="660" spans="15:16" x14ac:dyDescent="0.2">
      <c r="O660" s="11">
        <v>659</v>
      </c>
      <c r="P660" s="10">
        <v>1556.978393554688</v>
      </c>
    </row>
    <row r="661" spans="15:16" x14ac:dyDescent="0.2">
      <c r="O661">
        <v>660</v>
      </c>
      <c r="P661" s="10">
        <v>1561.078369140625</v>
      </c>
    </row>
    <row r="662" spans="15:16" x14ac:dyDescent="0.2">
      <c r="O662">
        <v>661</v>
      </c>
      <c r="P662" s="10">
        <v>1575.308227539062</v>
      </c>
    </row>
    <row r="663" spans="15:16" x14ac:dyDescent="0.2">
      <c r="O663" s="11">
        <v>662</v>
      </c>
      <c r="P663" s="10">
        <v>1561.8984375</v>
      </c>
    </row>
    <row r="664" spans="15:16" x14ac:dyDescent="0.2">
      <c r="O664">
        <v>663</v>
      </c>
      <c r="P664" s="10">
        <v>1558.087768554688</v>
      </c>
    </row>
    <row r="665" spans="15:16" x14ac:dyDescent="0.2">
      <c r="O665">
        <v>664</v>
      </c>
      <c r="P665" s="10">
        <v>1554.3251953125</v>
      </c>
    </row>
    <row r="666" spans="15:16" x14ac:dyDescent="0.2">
      <c r="O666" s="11">
        <v>665</v>
      </c>
      <c r="P666" s="10">
        <v>1470.972534179688</v>
      </c>
    </row>
    <row r="667" spans="15:16" x14ac:dyDescent="0.2">
      <c r="O667">
        <v>666</v>
      </c>
      <c r="P667" s="10">
        <v>1455.151000976562</v>
      </c>
    </row>
    <row r="668" spans="15:16" x14ac:dyDescent="0.2">
      <c r="O668">
        <v>667</v>
      </c>
      <c r="P668" s="10">
        <v>1455.585205078125</v>
      </c>
    </row>
    <row r="669" spans="15:16" x14ac:dyDescent="0.2">
      <c r="O669" s="11">
        <v>668</v>
      </c>
      <c r="P669" s="10">
        <v>1444.345947265625</v>
      </c>
    </row>
    <row r="670" spans="15:16" x14ac:dyDescent="0.2">
      <c r="O670">
        <v>669</v>
      </c>
      <c r="P670" s="10">
        <v>1454.379150390625</v>
      </c>
    </row>
    <row r="671" spans="15:16" x14ac:dyDescent="0.2">
      <c r="O671">
        <v>670</v>
      </c>
      <c r="P671" s="10">
        <v>1460.794555664062</v>
      </c>
    </row>
    <row r="672" spans="15:16" x14ac:dyDescent="0.2">
      <c r="O672" s="11">
        <v>671</v>
      </c>
      <c r="P672" s="10">
        <v>1459.878173828125</v>
      </c>
    </row>
    <row r="673" spans="15:16" x14ac:dyDescent="0.2">
      <c r="O673">
        <v>672</v>
      </c>
      <c r="P673" s="10">
        <v>1443.911865234375</v>
      </c>
    </row>
    <row r="674" spans="15:16" x14ac:dyDescent="0.2">
      <c r="O674">
        <v>673</v>
      </c>
      <c r="P674" s="10">
        <v>1407.251953125</v>
      </c>
    </row>
    <row r="675" spans="15:16" x14ac:dyDescent="0.2">
      <c r="O675" s="11">
        <v>674</v>
      </c>
      <c r="P675" s="10">
        <v>1403.103759765625</v>
      </c>
    </row>
    <row r="676" spans="15:16" x14ac:dyDescent="0.2">
      <c r="O676">
        <v>675</v>
      </c>
      <c r="P676" s="10">
        <v>1399.727172851562</v>
      </c>
    </row>
    <row r="677" spans="15:16" x14ac:dyDescent="0.2">
      <c r="O677">
        <v>676</v>
      </c>
      <c r="P677" s="10">
        <v>1409.519287109375</v>
      </c>
    </row>
    <row r="678" spans="15:16" x14ac:dyDescent="0.2">
      <c r="O678" s="11">
        <v>677</v>
      </c>
      <c r="P678" s="10">
        <v>1387.860961914062</v>
      </c>
    </row>
    <row r="679" spans="15:16" x14ac:dyDescent="0.2">
      <c r="O679">
        <v>678</v>
      </c>
      <c r="P679" s="10">
        <v>1397.701293945312</v>
      </c>
    </row>
    <row r="680" spans="15:16" x14ac:dyDescent="0.2">
      <c r="O680">
        <v>679</v>
      </c>
      <c r="P680" s="10">
        <v>1407.203979492188</v>
      </c>
    </row>
    <row r="681" spans="15:16" x14ac:dyDescent="0.2">
      <c r="O681" s="11">
        <v>680</v>
      </c>
      <c r="P681" s="10">
        <v>1392.92578125</v>
      </c>
    </row>
    <row r="682" spans="15:16" x14ac:dyDescent="0.2">
      <c r="O682">
        <v>681</v>
      </c>
      <c r="P682" s="10">
        <v>1395.53076171875</v>
      </c>
    </row>
    <row r="683" spans="15:16" x14ac:dyDescent="0.2">
      <c r="O683">
        <v>682</v>
      </c>
      <c r="P683" s="10">
        <v>1388.246826171875</v>
      </c>
    </row>
    <row r="684" spans="15:16" x14ac:dyDescent="0.2">
      <c r="O684" s="11">
        <v>683</v>
      </c>
      <c r="P684" s="10">
        <v>1344.448120117188</v>
      </c>
    </row>
    <row r="685" spans="15:16" x14ac:dyDescent="0.2">
      <c r="O685">
        <v>684</v>
      </c>
      <c r="P685" s="10">
        <v>1360.076904296875</v>
      </c>
    </row>
    <row r="686" spans="15:16" x14ac:dyDescent="0.2">
      <c r="O686">
        <v>685</v>
      </c>
      <c r="P686" s="10">
        <v>1351.24951171875</v>
      </c>
    </row>
    <row r="687" spans="15:16" x14ac:dyDescent="0.2">
      <c r="O687" s="11">
        <v>686</v>
      </c>
      <c r="P687" s="10">
        <v>1365.093383789062</v>
      </c>
    </row>
    <row r="688" spans="15:16" x14ac:dyDescent="0.2">
      <c r="O688">
        <v>687</v>
      </c>
      <c r="P688" s="10">
        <v>1380.336181640625</v>
      </c>
    </row>
    <row r="689" spans="15:16" x14ac:dyDescent="0.2">
      <c r="O689">
        <v>688</v>
      </c>
      <c r="P689" s="10">
        <v>1386.317504882812</v>
      </c>
    </row>
    <row r="690" spans="15:16" x14ac:dyDescent="0.2">
      <c r="O690" s="11">
        <v>689</v>
      </c>
      <c r="P690" s="10">
        <v>1401.753173828125</v>
      </c>
    </row>
    <row r="691" spans="15:16" x14ac:dyDescent="0.2">
      <c r="O691">
        <v>690</v>
      </c>
      <c r="P691" s="10">
        <v>1363.356811523438</v>
      </c>
    </row>
    <row r="692" spans="15:16" x14ac:dyDescent="0.2">
      <c r="O692">
        <v>691</v>
      </c>
      <c r="P692" s="10">
        <v>1371.219482421875</v>
      </c>
    </row>
    <row r="693" spans="15:16" x14ac:dyDescent="0.2">
      <c r="O693" s="11">
        <v>692</v>
      </c>
      <c r="P693" s="10">
        <v>1333.594848632812</v>
      </c>
    </row>
    <row r="694" spans="15:16" x14ac:dyDescent="0.2">
      <c r="O694">
        <v>693</v>
      </c>
      <c r="P694" s="10">
        <v>1340.540893554688</v>
      </c>
    </row>
    <row r="695" spans="15:16" x14ac:dyDescent="0.2">
      <c r="O695">
        <v>694</v>
      </c>
      <c r="P695" s="10">
        <v>1363.984008789062</v>
      </c>
    </row>
    <row r="696" spans="15:16" x14ac:dyDescent="0.2">
      <c r="O696" s="11">
        <v>695</v>
      </c>
      <c r="P696" s="10">
        <v>1376.33251953125</v>
      </c>
    </row>
    <row r="697" spans="15:16" x14ac:dyDescent="0.2">
      <c r="O697">
        <v>696</v>
      </c>
      <c r="P697" s="10">
        <v>1395.144653320312</v>
      </c>
    </row>
    <row r="698" spans="15:16" x14ac:dyDescent="0.2">
      <c r="O698">
        <v>697</v>
      </c>
      <c r="P698" s="10">
        <v>1433.589233398438</v>
      </c>
    </row>
    <row r="699" spans="15:16" x14ac:dyDescent="0.2">
      <c r="O699" s="11">
        <v>698</v>
      </c>
      <c r="P699" s="10">
        <v>1464.798217773438</v>
      </c>
    </row>
    <row r="700" spans="15:16" x14ac:dyDescent="0.2">
      <c r="O700">
        <v>699</v>
      </c>
      <c r="P700" s="10">
        <v>1467.065307617188</v>
      </c>
    </row>
    <row r="701" spans="15:16" x14ac:dyDescent="0.2">
      <c r="O701">
        <v>700</v>
      </c>
      <c r="P701" s="10">
        <v>1449.603759765625</v>
      </c>
    </row>
    <row r="702" spans="15:16" x14ac:dyDescent="0.2">
      <c r="O702" s="11">
        <v>701</v>
      </c>
      <c r="P702" s="10">
        <v>1440.101196289062</v>
      </c>
    </row>
    <row r="703" spans="15:16" x14ac:dyDescent="0.2">
      <c r="O703">
        <v>702</v>
      </c>
      <c r="P703" s="10">
        <v>1467.065307617188</v>
      </c>
    </row>
    <row r="704" spans="15:16" x14ac:dyDescent="0.2">
      <c r="O704">
        <v>703</v>
      </c>
      <c r="P704" s="10">
        <v>1474.735107421875</v>
      </c>
    </row>
    <row r="705" spans="15:16" x14ac:dyDescent="0.2">
      <c r="O705" s="11">
        <v>704</v>
      </c>
      <c r="P705" s="10">
        <v>1459.733520507812</v>
      </c>
    </row>
    <row r="706" spans="15:16" x14ac:dyDescent="0.2">
      <c r="O706">
        <v>705</v>
      </c>
      <c r="P706" s="10">
        <v>1440.872924804688</v>
      </c>
    </row>
    <row r="707" spans="15:16" x14ac:dyDescent="0.2">
      <c r="O707">
        <v>706</v>
      </c>
      <c r="P707" s="10">
        <v>1445.744750976562</v>
      </c>
    </row>
    <row r="708" spans="15:16" x14ac:dyDescent="0.2">
      <c r="O708" s="11">
        <v>707</v>
      </c>
      <c r="P708" s="10">
        <v>1444.780029296875</v>
      </c>
    </row>
    <row r="709" spans="15:16" x14ac:dyDescent="0.2">
      <c r="O709">
        <v>708</v>
      </c>
      <c r="P709" s="10">
        <v>1430.019897460938</v>
      </c>
    </row>
    <row r="710" spans="15:16" x14ac:dyDescent="0.2">
      <c r="O710">
        <v>709</v>
      </c>
      <c r="P710" s="10">
        <v>1436.821166992188</v>
      </c>
    </row>
    <row r="711" spans="15:16" x14ac:dyDescent="0.2">
      <c r="O711" s="11">
        <v>710</v>
      </c>
      <c r="P711" s="10">
        <v>1442.320190429688</v>
      </c>
    </row>
    <row r="712" spans="15:16" x14ac:dyDescent="0.2">
      <c r="O712">
        <v>711</v>
      </c>
      <c r="P712" s="10">
        <v>1433.10693359375</v>
      </c>
    </row>
    <row r="713" spans="15:16" x14ac:dyDescent="0.2">
      <c r="O713">
        <v>712</v>
      </c>
      <c r="P713" s="10">
        <v>1420.227783203125</v>
      </c>
    </row>
    <row r="714" spans="15:16" x14ac:dyDescent="0.2">
      <c r="O714" s="11">
        <v>713</v>
      </c>
      <c r="P714" s="10">
        <v>1433.685668945312</v>
      </c>
    </row>
    <row r="715" spans="15:16" x14ac:dyDescent="0.2">
      <c r="O715">
        <v>714</v>
      </c>
      <c r="P715" s="10">
        <v>1388.6328125</v>
      </c>
    </row>
    <row r="716" spans="15:16" x14ac:dyDescent="0.2">
      <c r="O716">
        <v>715</v>
      </c>
      <c r="P716" s="10">
        <v>1413.426391601562</v>
      </c>
    </row>
    <row r="717" spans="15:16" x14ac:dyDescent="0.2">
      <c r="O717" s="11">
        <v>716</v>
      </c>
      <c r="P717" s="10">
        <v>1413.185302734375</v>
      </c>
    </row>
    <row r="718" spans="15:16" x14ac:dyDescent="0.2">
      <c r="O718">
        <v>717</v>
      </c>
      <c r="P718" s="10">
        <v>1420.903076171875</v>
      </c>
    </row>
    <row r="719" spans="15:16" x14ac:dyDescent="0.2">
      <c r="O719">
        <v>718</v>
      </c>
      <c r="P719" s="10">
        <v>1414.101806640625</v>
      </c>
    </row>
    <row r="720" spans="15:16" x14ac:dyDescent="0.2">
      <c r="O720" s="11">
        <v>719</v>
      </c>
      <c r="P720" s="10">
        <v>1418.4912109375</v>
      </c>
    </row>
    <row r="721" spans="15:16" x14ac:dyDescent="0.2">
      <c r="O721">
        <v>720</v>
      </c>
      <c r="P721" s="10">
        <v>1440.390625</v>
      </c>
    </row>
    <row r="722" spans="15:16" x14ac:dyDescent="0.2">
      <c r="O722">
        <v>721</v>
      </c>
      <c r="P722" s="10">
        <v>1458.382690429688</v>
      </c>
    </row>
    <row r="723" spans="15:16" x14ac:dyDescent="0.2">
      <c r="O723" s="11">
        <v>722</v>
      </c>
      <c r="P723" s="10">
        <v>1456.646362304688</v>
      </c>
    </row>
    <row r="724" spans="15:16" x14ac:dyDescent="0.2">
      <c r="O724">
        <v>723</v>
      </c>
      <c r="P724" s="10">
        <v>1449.169677734375</v>
      </c>
    </row>
    <row r="725" spans="15:16" x14ac:dyDescent="0.2">
      <c r="O725">
        <v>724</v>
      </c>
      <c r="P725" s="10">
        <v>1432.769287109375</v>
      </c>
    </row>
    <row r="726" spans="15:16" x14ac:dyDescent="0.2">
      <c r="O726" s="11">
        <v>725</v>
      </c>
      <c r="P726" s="10">
        <v>1433.2998046875</v>
      </c>
    </row>
    <row r="727" spans="15:16" x14ac:dyDescent="0.2">
      <c r="O727">
        <v>726</v>
      </c>
      <c r="P727" s="10">
        <v>1414.584106445312</v>
      </c>
    </row>
    <row r="728" spans="15:16" x14ac:dyDescent="0.2">
      <c r="O728">
        <v>727</v>
      </c>
      <c r="P728" s="10">
        <v>1410.48388671875</v>
      </c>
    </row>
    <row r="729" spans="15:16" x14ac:dyDescent="0.2">
      <c r="O729" s="11">
        <v>728</v>
      </c>
      <c r="P729" s="10">
        <v>1376.718383789062</v>
      </c>
    </row>
    <row r="730" spans="15:16" x14ac:dyDescent="0.2">
      <c r="O730">
        <v>729</v>
      </c>
      <c r="P730" s="10">
        <v>1381.397338867188</v>
      </c>
    </row>
    <row r="731" spans="15:16" x14ac:dyDescent="0.2">
      <c r="O731">
        <v>730</v>
      </c>
      <c r="P731" s="10">
        <v>1383.037353515625</v>
      </c>
    </row>
    <row r="732" spans="15:16" x14ac:dyDescent="0.2">
      <c r="O732" s="11">
        <v>731</v>
      </c>
      <c r="P732" s="10">
        <v>1379.805541992188</v>
      </c>
    </row>
    <row r="733" spans="15:16" x14ac:dyDescent="0.2">
      <c r="O733">
        <v>732</v>
      </c>
      <c r="P733" s="10">
        <v>1395.144653320312</v>
      </c>
    </row>
    <row r="734" spans="15:16" x14ac:dyDescent="0.2">
      <c r="O734">
        <v>733</v>
      </c>
      <c r="P734" s="10">
        <v>1383.616088867188</v>
      </c>
    </row>
    <row r="735" spans="15:16" x14ac:dyDescent="0.2">
      <c r="O735" s="11">
        <v>734</v>
      </c>
      <c r="P735" s="10">
        <v>1366.878173828125</v>
      </c>
    </row>
    <row r="736" spans="15:16" x14ac:dyDescent="0.2">
      <c r="O736">
        <v>735</v>
      </c>
      <c r="P736" s="10">
        <v>1354.867309570312</v>
      </c>
    </row>
    <row r="737" spans="15:16" x14ac:dyDescent="0.2">
      <c r="O737">
        <v>736</v>
      </c>
      <c r="P737" s="10">
        <v>1344.592895507812</v>
      </c>
    </row>
    <row r="738" spans="15:16" x14ac:dyDescent="0.2">
      <c r="O738" s="11">
        <v>737</v>
      </c>
      <c r="P738" s="10">
        <v>1347.342163085938</v>
      </c>
    </row>
    <row r="739" spans="15:16" x14ac:dyDescent="0.2">
      <c r="O739">
        <v>738</v>
      </c>
      <c r="P739" s="10">
        <v>1343.386962890625</v>
      </c>
    </row>
    <row r="740" spans="15:16" x14ac:dyDescent="0.2">
      <c r="O740">
        <v>739</v>
      </c>
      <c r="P740" s="10">
        <v>1312.756713867188</v>
      </c>
    </row>
    <row r="741" spans="15:16" x14ac:dyDescent="0.2">
      <c r="O741" s="11">
        <v>740</v>
      </c>
      <c r="P741" s="10">
        <v>1316.905029296875</v>
      </c>
    </row>
    <row r="742" spans="15:16" x14ac:dyDescent="0.2">
      <c r="O742">
        <v>741</v>
      </c>
      <c r="P742" s="10">
        <v>1300.504760742188</v>
      </c>
    </row>
    <row r="743" spans="15:16" x14ac:dyDescent="0.2">
      <c r="O743">
        <v>742</v>
      </c>
      <c r="P743" s="10">
        <v>1300.0224609375</v>
      </c>
    </row>
    <row r="744" spans="15:16" x14ac:dyDescent="0.2">
      <c r="O744" s="11">
        <v>743</v>
      </c>
      <c r="P744" s="10">
        <v>1314.010864257812</v>
      </c>
    </row>
    <row r="745" spans="15:16" x14ac:dyDescent="0.2">
      <c r="O745">
        <v>744</v>
      </c>
      <c r="P745" s="10">
        <v>1303.39892578125</v>
      </c>
    </row>
    <row r="746" spans="15:16" x14ac:dyDescent="0.2">
      <c r="O746">
        <v>745</v>
      </c>
      <c r="P746" s="10">
        <v>1309.958984375</v>
      </c>
    </row>
    <row r="747" spans="15:16" x14ac:dyDescent="0.2">
      <c r="O747" s="11">
        <v>746</v>
      </c>
      <c r="P747" s="10">
        <v>1342.711669921875</v>
      </c>
    </row>
    <row r="748" spans="15:16" x14ac:dyDescent="0.2">
      <c r="O748">
        <v>747</v>
      </c>
      <c r="P748" s="10">
        <v>1356.555541992188</v>
      </c>
    </row>
    <row r="749" spans="15:16" x14ac:dyDescent="0.2">
      <c r="O749">
        <v>748</v>
      </c>
      <c r="P749" s="10">
        <v>1347.82470703125</v>
      </c>
    </row>
    <row r="750" spans="15:16" x14ac:dyDescent="0.2">
      <c r="O750" s="11">
        <v>749</v>
      </c>
      <c r="P750" s="10">
        <v>1346.570678710938</v>
      </c>
    </row>
    <row r="751" spans="15:16" x14ac:dyDescent="0.2">
      <c r="O751">
        <v>750</v>
      </c>
      <c r="P751" s="10">
        <v>1322.886352539062</v>
      </c>
    </row>
    <row r="752" spans="15:16" x14ac:dyDescent="0.2">
      <c r="O752">
        <v>751</v>
      </c>
      <c r="P752" s="10">
        <v>1304.894165039062</v>
      </c>
    </row>
    <row r="753" spans="15:16" x14ac:dyDescent="0.2">
      <c r="O753" s="11">
        <v>752</v>
      </c>
      <c r="P753" s="10">
        <v>1307.836791992188</v>
      </c>
    </row>
    <row r="754" spans="15:16" x14ac:dyDescent="0.2">
      <c r="O754">
        <v>753</v>
      </c>
      <c r="P754" s="10">
        <v>1306.003662109375</v>
      </c>
    </row>
    <row r="755" spans="15:16" x14ac:dyDescent="0.2">
      <c r="O755">
        <v>754</v>
      </c>
      <c r="P755" s="10">
        <v>1300.45654296875</v>
      </c>
    </row>
    <row r="756" spans="15:16" x14ac:dyDescent="0.2">
      <c r="O756" s="11">
        <v>755</v>
      </c>
      <c r="P756" s="10">
        <v>1296.54931640625</v>
      </c>
    </row>
    <row r="757" spans="15:16" x14ac:dyDescent="0.2">
      <c r="O757">
        <v>756</v>
      </c>
      <c r="P757" s="10">
        <v>1298.430541992188</v>
      </c>
    </row>
    <row r="758" spans="15:16" x14ac:dyDescent="0.2">
      <c r="O758">
        <v>757</v>
      </c>
      <c r="P758" s="10">
        <v>1308.41552734375</v>
      </c>
    </row>
    <row r="759" spans="15:16" x14ac:dyDescent="0.2">
      <c r="O759" s="11">
        <v>758</v>
      </c>
      <c r="P759" s="10">
        <v>1306.052001953125</v>
      </c>
    </row>
    <row r="760" spans="15:16" x14ac:dyDescent="0.2">
      <c r="O760">
        <v>759</v>
      </c>
      <c r="P760" s="10">
        <v>1288.059692382812</v>
      </c>
    </row>
    <row r="761" spans="15:16" x14ac:dyDescent="0.2">
      <c r="O761">
        <v>760</v>
      </c>
      <c r="P761" s="10">
        <v>1283.33251953125</v>
      </c>
    </row>
    <row r="762" spans="15:16" x14ac:dyDescent="0.2">
      <c r="O762" s="11">
        <v>761</v>
      </c>
      <c r="P762" s="10">
        <v>1289.410278320312</v>
      </c>
    </row>
    <row r="763" spans="15:16" x14ac:dyDescent="0.2">
      <c r="O763">
        <v>762</v>
      </c>
      <c r="P763" s="10">
        <v>1275.518188476562</v>
      </c>
    </row>
    <row r="764" spans="15:16" x14ac:dyDescent="0.2">
      <c r="O764">
        <v>763</v>
      </c>
      <c r="P764" s="10">
        <v>1244.260864257812</v>
      </c>
    </row>
    <row r="765" spans="15:16" x14ac:dyDescent="0.2">
      <c r="O765" s="11">
        <v>764</v>
      </c>
      <c r="P765" s="10">
        <v>1236.109008789062</v>
      </c>
    </row>
    <row r="766" spans="15:16" x14ac:dyDescent="0.2">
      <c r="O766">
        <v>765</v>
      </c>
      <c r="P766" s="10">
        <v>1261.336547851562</v>
      </c>
    </row>
    <row r="767" spans="15:16" x14ac:dyDescent="0.2">
      <c r="O767">
        <v>766</v>
      </c>
      <c r="P767" s="10">
        <v>1265.726196289062</v>
      </c>
    </row>
    <row r="768" spans="15:16" x14ac:dyDescent="0.2">
      <c r="O768" s="11">
        <v>767</v>
      </c>
      <c r="P768" s="10">
        <v>1279.811157226562</v>
      </c>
    </row>
    <row r="769" spans="15:16" x14ac:dyDescent="0.2">
      <c r="O769">
        <v>768</v>
      </c>
      <c r="P769" s="10">
        <v>1303.447143554688</v>
      </c>
    </row>
    <row r="770" spans="15:16" x14ac:dyDescent="0.2">
      <c r="O770">
        <v>769</v>
      </c>
      <c r="P770" s="10">
        <v>1329.10888671875</v>
      </c>
    </row>
    <row r="771" spans="15:16" x14ac:dyDescent="0.2">
      <c r="O771" s="11">
        <v>770</v>
      </c>
      <c r="P771" s="10">
        <v>1319.172241210938</v>
      </c>
    </row>
    <row r="772" spans="15:16" x14ac:dyDescent="0.2">
      <c r="O772">
        <v>771</v>
      </c>
      <c r="P772" s="10">
        <v>1314.54150390625</v>
      </c>
    </row>
    <row r="773" spans="15:16" x14ac:dyDescent="0.2">
      <c r="O773">
        <v>772</v>
      </c>
      <c r="P773" s="10">
        <v>1329.832275390625</v>
      </c>
    </row>
    <row r="774" spans="15:16" x14ac:dyDescent="0.2">
      <c r="O774" s="11">
        <v>773</v>
      </c>
      <c r="P774" s="10">
        <v>1331.617309570312</v>
      </c>
    </row>
    <row r="775" spans="15:16" x14ac:dyDescent="0.2">
      <c r="O775">
        <v>774</v>
      </c>
      <c r="P775" s="10">
        <v>1336.247924804688</v>
      </c>
    </row>
    <row r="776" spans="15:16" x14ac:dyDescent="0.2">
      <c r="O776">
        <v>775</v>
      </c>
      <c r="P776" s="10">
        <v>1345.654174804688</v>
      </c>
    </row>
    <row r="777" spans="15:16" x14ac:dyDescent="0.2">
      <c r="O777" s="11">
        <v>776</v>
      </c>
      <c r="P777" s="10">
        <v>1339.962158203125</v>
      </c>
    </row>
    <row r="778" spans="15:16" x14ac:dyDescent="0.2">
      <c r="O778">
        <v>777</v>
      </c>
      <c r="P778" s="10">
        <v>1352.117797851562</v>
      </c>
    </row>
    <row r="779" spans="15:16" x14ac:dyDescent="0.2">
      <c r="O779">
        <v>778</v>
      </c>
      <c r="P779" s="10">
        <v>1342.952880859375</v>
      </c>
    </row>
    <row r="780" spans="15:16" x14ac:dyDescent="0.2">
      <c r="O780" s="11">
        <v>779</v>
      </c>
      <c r="P780" s="10">
        <v>1318.496826171875</v>
      </c>
    </row>
    <row r="781" spans="15:16" x14ac:dyDescent="0.2">
      <c r="O781">
        <v>780</v>
      </c>
      <c r="P781" s="10">
        <v>1281.933715820312</v>
      </c>
    </row>
    <row r="782" spans="15:16" x14ac:dyDescent="0.2">
      <c r="O782">
        <v>781</v>
      </c>
      <c r="P782" s="10">
        <v>1272.431030273438</v>
      </c>
    </row>
    <row r="783" spans="15:16" x14ac:dyDescent="0.2">
      <c r="O783" s="11">
        <v>782</v>
      </c>
      <c r="P783" s="10">
        <v>1258.00830078125</v>
      </c>
    </row>
    <row r="784" spans="15:16" x14ac:dyDescent="0.2">
      <c r="O784">
        <v>783</v>
      </c>
      <c r="P784" s="10">
        <v>1274.360473632812</v>
      </c>
    </row>
    <row r="785" spans="15:16" x14ac:dyDescent="0.2">
      <c r="O785">
        <v>784</v>
      </c>
      <c r="P785" s="10">
        <v>1241.656127929688</v>
      </c>
    </row>
    <row r="786" spans="15:16" x14ac:dyDescent="0.2">
      <c r="O786" s="11">
        <v>785</v>
      </c>
      <c r="P786" s="10">
        <v>1267.559204101562</v>
      </c>
    </row>
    <row r="787" spans="15:16" x14ac:dyDescent="0.2">
      <c r="O787">
        <v>786</v>
      </c>
      <c r="P787" s="10">
        <v>1267.655639648438</v>
      </c>
    </row>
    <row r="788" spans="15:16" x14ac:dyDescent="0.2">
      <c r="O788">
        <v>787</v>
      </c>
      <c r="P788" s="10">
        <v>1259.069458007812</v>
      </c>
    </row>
    <row r="789" spans="15:16" x14ac:dyDescent="0.2">
      <c r="O789" s="11">
        <v>788</v>
      </c>
      <c r="P789" s="10">
        <v>1245.804443359375</v>
      </c>
    </row>
    <row r="790" spans="15:16" x14ac:dyDescent="0.2">
      <c r="O790">
        <v>789</v>
      </c>
      <c r="P790" s="10">
        <v>1257.091796875</v>
      </c>
    </row>
    <row r="791" spans="15:16" x14ac:dyDescent="0.2">
      <c r="O791">
        <v>790</v>
      </c>
      <c r="P791" s="10">
        <v>1286.08203125</v>
      </c>
    </row>
    <row r="792" spans="15:16" x14ac:dyDescent="0.2">
      <c r="O792" s="11">
        <v>791</v>
      </c>
      <c r="P792" s="10">
        <v>1278.881958007812</v>
      </c>
    </row>
    <row r="793" spans="15:16" x14ac:dyDescent="0.2">
      <c r="O793">
        <v>792</v>
      </c>
      <c r="P793" s="10">
        <v>1258.664672851562</v>
      </c>
    </row>
    <row r="794" spans="15:16" x14ac:dyDescent="0.2">
      <c r="O794">
        <v>793</v>
      </c>
      <c r="P794" s="10">
        <v>1256.519165039062</v>
      </c>
    </row>
    <row r="795" spans="15:16" x14ac:dyDescent="0.2">
      <c r="O795" s="11">
        <v>794</v>
      </c>
      <c r="P795" s="10">
        <v>1290.230224609375</v>
      </c>
    </row>
    <row r="796" spans="15:16" x14ac:dyDescent="0.2">
      <c r="O796">
        <v>795</v>
      </c>
      <c r="P796" s="10">
        <v>1293.138916015625</v>
      </c>
    </row>
    <row r="797" spans="15:16" x14ac:dyDescent="0.2">
      <c r="O797">
        <v>796</v>
      </c>
      <c r="P797" s="10">
        <v>1338.627685546875</v>
      </c>
    </row>
    <row r="798" spans="15:16" x14ac:dyDescent="0.2">
      <c r="O798" s="11">
        <v>797</v>
      </c>
      <c r="P798" s="10">
        <v>1320.4130859375</v>
      </c>
    </row>
    <row r="799" spans="15:16" x14ac:dyDescent="0.2">
      <c r="O799">
        <v>798</v>
      </c>
      <c r="P799" s="10">
        <v>1307.77734375</v>
      </c>
    </row>
    <row r="800" spans="15:16" x14ac:dyDescent="0.2">
      <c r="O800">
        <v>799</v>
      </c>
      <c r="P800" s="10">
        <v>1308.921875</v>
      </c>
    </row>
    <row r="801" spans="15:16" x14ac:dyDescent="0.2">
      <c r="O801" s="11">
        <v>800</v>
      </c>
      <c r="P801" s="10">
        <v>1308.444946289062</v>
      </c>
    </row>
    <row r="802" spans="15:16" x14ac:dyDescent="0.2">
      <c r="O802">
        <v>801</v>
      </c>
      <c r="P802" s="10">
        <v>1302.436889648438</v>
      </c>
    </row>
    <row r="803" spans="15:16" x14ac:dyDescent="0.2">
      <c r="O803">
        <v>802</v>
      </c>
      <c r="P803" s="10">
        <v>1292.757446289062</v>
      </c>
    </row>
    <row r="804" spans="15:16" x14ac:dyDescent="0.2">
      <c r="O804" s="11">
        <v>803</v>
      </c>
      <c r="P804" s="10">
        <v>1310.63818359375</v>
      </c>
    </row>
    <row r="805" spans="15:16" x14ac:dyDescent="0.2">
      <c r="O805">
        <v>804</v>
      </c>
      <c r="P805" s="10">
        <v>1291.517822265625</v>
      </c>
    </row>
    <row r="806" spans="15:16" x14ac:dyDescent="0.2">
      <c r="O806">
        <v>805</v>
      </c>
      <c r="P806" s="10">
        <v>1279.978637695312</v>
      </c>
    </row>
    <row r="807" spans="15:16" x14ac:dyDescent="0.2">
      <c r="O807" s="11">
        <v>806</v>
      </c>
      <c r="P807" s="10">
        <v>1330.760131835938</v>
      </c>
    </row>
    <row r="808" spans="15:16" x14ac:dyDescent="0.2">
      <c r="O808">
        <v>807</v>
      </c>
      <c r="P808" s="10">
        <v>1397.038208007812</v>
      </c>
    </row>
    <row r="809" spans="15:16" x14ac:dyDescent="0.2">
      <c r="O809">
        <v>808</v>
      </c>
      <c r="P809" s="10">
        <v>1424.264770507812</v>
      </c>
    </row>
    <row r="810" spans="15:16" x14ac:dyDescent="0.2">
      <c r="O810" s="11">
        <v>809</v>
      </c>
      <c r="P810" s="10">
        <v>1426.791870117188</v>
      </c>
    </row>
    <row r="811" spans="15:16" x14ac:dyDescent="0.2">
      <c r="O811">
        <v>810</v>
      </c>
      <c r="P811" s="10">
        <v>1444.434326171875</v>
      </c>
    </row>
    <row r="812" spans="15:16" x14ac:dyDescent="0.2">
      <c r="O812">
        <v>811</v>
      </c>
      <c r="P812" s="10">
        <v>1446.436889648438</v>
      </c>
    </row>
    <row r="813" spans="15:16" x14ac:dyDescent="0.2">
      <c r="O813" s="11">
        <v>812</v>
      </c>
      <c r="P813" s="10">
        <v>1478.956176757812</v>
      </c>
    </row>
    <row r="814" spans="15:16" x14ac:dyDescent="0.2">
      <c r="O814">
        <v>813</v>
      </c>
      <c r="P814" s="10">
        <v>1533.695190429688</v>
      </c>
    </row>
    <row r="815" spans="15:16" x14ac:dyDescent="0.2">
      <c r="O815">
        <v>814</v>
      </c>
      <c r="P815" s="10">
        <v>1579.99462890625</v>
      </c>
    </row>
    <row r="816" spans="15:16" x14ac:dyDescent="0.2">
      <c r="O816" s="11">
        <v>815</v>
      </c>
      <c r="P816" s="10">
        <v>1436.185302734375</v>
      </c>
    </row>
    <row r="817" spans="15:16" x14ac:dyDescent="0.2">
      <c r="O817">
        <v>816</v>
      </c>
      <c r="P817" s="10">
        <v>1402.18798828125</v>
      </c>
    </row>
    <row r="818" spans="15:16" x14ac:dyDescent="0.2">
      <c r="O818">
        <v>817</v>
      </c>
      <c r="P818" s="10">
        <v>1408.48193359375</v>
      </c>
    </row>
    <row r="819" spans="15:16" x14ac:dyDescent="0.2">
      <c r="O819" s="11">
        <v>818</v>
      </c>
      <c r="P819" s="10">
        <v>1384.498046875</v>
      </c>
    </row>
    <row r="820" spans="15:16" x14ac:dyDescent="0.2">
      <c r="O820">
        <v>819</v>
      </c>
      <c r="P820" s="10">
        <v>1366.378662109375</v>
      </c>
    </row>
    <row r="821" spans="15:16" x14ac:dyDescent="0.2">
      <c r="O821">
        <v>820</v>
      </c>
      <c r="P821" s="10">
        <v>1364.566772460938</v>
      </c>
    </row>
    <row r="822" spans="15:16" x14ac:dyDescent="0.2">
      <c r="O822" s="11">
        <v>821</v>
      </c>
      <c r="P822" s="10">
        <v>1375.77197265625</v>
      </c>
    </row>
    <row r="823" spans="15:16" x14ac:dyDescent="0.2">
      <c r="O823">
        <v>822</v>
      </c>
      <c r="P823" s="10">
        <v>1410.67529296875</v>
      </c>
    </row>
    <row r="824" spans="15:16" x14ac:dyDescent="0.2">
      <c r="O824">
        <v>823</v>
      </c>
      <c r="P824" s="10">
        <v>1424.884643554688</v>
      </c>
    </row>
    <row r="825" spans="15:16" x14ac:dyDescent="0.2">
      <c r="O825" s="11">
        <v>824</v>
      </c>
      <c r="P825" s="10">
        <v>1417.589233398438</v>
      </c>
    </row>
    <row r="826" spans="15:16" x14ac:dyDescent="0.2">
      <c r="O826">
        <v>825</v>
      </c>
      <c r="P826" s="10">
        <v>1411.438354492188</v>
      </c>
    </row>
    <row r="827" spans="15:16" x14ac:dyDescent="0.2">
      <c r="O827">
        <v>826</v>
      </c>
      <c r="P827" s="10">
        <v>1381.01708984375</v>
      </c>
    </row>
    <row r="828" spans="15:16" x14ac:dyDescent="0.2">
      <c r="O828" s="11">
        <v>827</v>
      </c>
      <c r="P828" s="10">
        <v>1357.986694335938</v>
      </c>
    </row>
    <row r="829" spans="15:16" x14ac:dyDescent="0.2">
      <c r="O829">
        <v>828</v>
      </c>
      <c r="P829" s="10">
        <v>1375.676635742188</v>
      </c>
    </row>
    <row r="830" spans="15:16" x14ac:dyDescent="0.2">
      <c r="O830">
        <v>829</v>
      </c>
      <c r="P830" s="10">
        <v>1332.047607421875</v>
      </c>
    </row>
    <row r="831" spans="15:16" x14ac:dyDescent="0.2">
      <c r="O831" s="11">
        <v>830</v>
      </c>
      <c r="P831" s="10">
        <v>1328.137573242188</v>
      </c>
    </row>
    <row r="832" spans="15:16" x14ac:dyDescent="0.2">
      <c r="O832">
        <v>831</v>
      </c>
      <c r="P832" s="10">
        <v>1307.586547851562</v>
      </c>
    </row>
    <row r="833" spans="15:16" x14ac:dyDescent="0.2">
      <c r="O833">
        <v>832</v>
      </c>
      <c r="P833" s="10">
        <v>1266.246215820312</v>
      </c>
    </row>
    <row r="834" spans="15:16" x14ac:dyDescent="0.2">
      <c r="O834" s="11">
        <v>833</v>
      </c>
      <c r="P834" s="10">
        <v>1263.385375976562</v>
      </c>
    </row>
    <row r="835" spans="15:16" x14ac:dyDescent="0.2">
      <c r="O835">
        <v>834</v>
      </c>
      <c r="P835" s="10">
        <v>1303.152099609375</v>
      </c>
    </row>
    <row r="836" spans="15:16" x14ac:dyDescent="0.2">
      <c r="O836">
        <v>835</v>
      </c>
      <c r="P836" s="10">
        <v>1307.443603515625</v>
      </c>
    </row>
    <row r="837" spans="15:16" x14ac:dyDescent="0.2">
      <c r="O837" s="11">
        <v>836</v>
      </c>
      <c r="P837" s="10">
        <v>1310.542846679688</v>
      </c>
    </row>
    <row r="838" spans="15:16" x14ac:dyDescent="0.2">
      <c r="O838">
        <v>837</v>
      </c>
      <c r="P838" s="10">
        <v>1360.13232421875</v>
      </c>
    </row>
    <row r="839" spans="15:16" x14ac:dyDescent="0.2">
      <c r="O839">
        <v>838</v>
      </c>
      <c r="P839" s="10">
        <v>1388.598510742188</v>
      </c>
    </row>
    <row r="840" spans="15:16" x14ac:dyDescent="0.2">
      <c r="O840" s="11">
        <v>839</v>
      </c>
      <c r="P840" s="10">
        <v>1353.599853515625</v>
      </c>
    </row>
    <row r="841" spans="15:16" x14ac:dyDescent="0.2">
      <c r="O841">
        <v>840</v>
      </c>
      <c r="P841" s="10">
        <v>1431.32177734375</v>
      </c>
    </row>
    <row r="842" spans="15:16" x14ac:dyDescent="0.2">
      <c r="O842">
        <v>841</v>
      </c>
      <c r="P842" s="10">
        <v>1440.66748046875</v>
      </c>
    </row>
    <row r="843" spans="15:16" x14ac:dyDescent="0.2">
      <c r="O843" s="11">
        <v>842</v>
      </c>
      <c r="P843" s="10">
        <v>1451.538818359375</v>
      </c>
    </row>
    <row r="844" spans="15:16" x14ac:dyDescent="0.2">
      <c r="O844">
        <v>843</v>
      </c>
      <c r="P844" s="10">
        <v>1442.24072265625</v>
      </c>
    </row>
    <row r="845" spans="15:16" x14ac:dyDescent="0.2">
      <c r="O845">
        <v>844</v>
      </c>
      <c r="P845" s="10">
        <v>1436.662109375</v>
      </c>
    </row>
    <row r="846" spans="15:16" x14ac:dyDescent="0.2">
      <c r="O846" s="11">
        <v>845</v>
      </c>
      <c r="P846" s="10">
        <v>1445.483276367188</v>
      </c>
    </row>
    <row r="847" spans="15:16" x14ac:dyDescent="0.2">
      <c r="O847">
        <v>846</v>
      </c>
      <c r="P847" s="10">
        <v>1447.438354492188</v>
      </c>
    </row>
    <row r="848" spans="15:16" x14ac:dyDescent="0.2">
      <c r="O848">
        <v>847</v>
      </c>
      <c r="P848" s="10">
        <v>1405.382690429688</v>
      </c>
    </row>
    <row r="849" spans="15:16" x14ac:dyDescent="0.2">
      <c r="O849" s="11">
        <v>848</v>
      </c>
      <c r="P849" s="10">
        <v>1448.439575195312</v>
      </c>
    </row>
    <row r="850" spans="15:16" x14ac:dyDescent="0.2">
      <c r="O850">
        <v>849</v>
      </c>
      <c r="P850" s="10">
        <v>1454.399780273438</v>
      </c>
    </row>
    <row r="851" spans="15:16" x14ac:dyDescent="0.2">
      <c r="O851">
        <v>850</v>
      </c>
      <c r="P851" s="10">
        <v>1428.174682617188</v>
      </c>
    </row>
    <row r="852" spans="15:16" x14ac:dyDescent="0.2">
      <c r="O852" s="11">
        <v>851</v>
      </c>
      <c r="P852" s="10">
        <v>1394.08203125</v>
      </c>
    </row>
    <row r="853" spans="15:16" x14ac:dyDescent="0.2">
      <c r="O853">
        <v>852</v>
      </c>
      <c r="P853" s="10">
        <v>1400.08984375</v>
      </c>
    </row>
    <row r="854" spans="15:16" x14ac:dyDescent="0.2">
      <c r="O854">
        <v>853</v>
      </c>
      <c r="P854" s="10">
        <v>1453.350952148438</v>
      </c>
    </row>
    <row r="855" spans="15:16" x14ac:dyDescent="0.2">
      <c r="O855" s="11">
        <v>854</v>
      </c>
      <c r="P855" s="10">
        <v>1445.101806640625</v>
      </c>
    </row>
    <row r="856" spans="15:16" x14ac:dyDescent="0.2">
      <c r="O856">
        <v>855</v>
      </c>
      <c r="P856" s="10">
        <v>1460.216918945312</v>
      </c>
    </row>
    <row r="857" spans="15:16" x14ac:dyDescent="0.2">
      <c r="O857">
        <v>856</v>
      </c>
      <c r="P857" s="10">
        <v>1427.602416992188</v>
      </c>
    </row>
    <row r="858" spans="15:16" x14ac:dyDescent="0.2">
      <c r="O858" s="11">
        <v>857</v>
      </c>
      <c r="P858" s="10">
        <v>1416.826416015625</v>
      </c>
    </row>
    <row r="859" spans="15:16" x14ac:dyDescent="0.2">
      <c r="O859">
        <v>858</v>
      </c>
      <c r="P859" s="10">
        <v>1395.4169921875</v>
      </c>
    </row>
    <row r="860" spans="15:16" x14ac:dyDescent="0.2">
      <c r="O860">
        <v>859</v>
      </c>
      <c r="P860" s="10">
        <v>1406.574584960938</v>
      </c>
    </row>
    <row r="861" spans="15:16" x14ac:dyDescent="0.2">
      <c r="O861" s="11">
        <v>860</v>
      </c>
      <c r="P861" s="10">
        <v>1419.067504882812</v>
      </c>
    </row>
    <row r="862" spans="15:16" x14ac:dyDescent="0.2">
      <c r="O862">
        <v>861</v>
      </c>
      <c r="P862" s="10">
        <v>1417.732421875</v>
      </c>
    </row>
    <row r="863" spans="15:16" x14ac:dyDescent="0.2">
      <c r="O863">
        <v>862</v>
      </c>
      <c r="P863" s="10">
        <v>1451.062133789062</v>
      </c>
    </row>
    <row r="864" spans="15:16" x14ac:dyDescent="0.2">
      <c r="O864" s="11">
        <v>863</v>
      </c>
      <c r="P864" s="10">
        <v>1439.046142578125</v>
      </c>
    </row>
    <row r="865" spans="15:16" x14ac:dyDescent="0.2">
      <c r="O865">
        <v>864</v>
      </c>
      <c r="P865" s="10">
        <v>1448.057983398438</v>
      </c>
    </row>
    <row r="866" spans="15:16" x14ac:dyDescent="0.2">
      <c r="O866">
        <v>865</v>
      </c>
      <c r="P866" s="10">
        <v>1458.357421875</v>
      </c>
    </row>
    <row r="867" spans="15:16" x14ac:dyDescent="0.2">
      <c r="O867" s="11">
        <v>866</v>
      </c>
      <c r="P867" s="10">
        <v>1450.966796875</v>
      </c>
    </row>
    <row r="868" spans="15:16" x14ac:dyDescent="0.2">
      <c r="O868">
        <v>867</v>
      </c>
      <c r="P868" s="10">
        <v>1473.520385742188</v>
      </c>
    </row>
    <row r="869" spans="15:16" x14ac:dyDescent="0.2">
      <c r="O869">
        <v>868</v>
      </c>
      <c r="P869" s="10">
        <v>1457.165283203125</v>
      </c>
    </row>
    <row r="870" spans="15:16" x14ac:dyDescent="0.2">
      <c r="O870" s="11">
        <v>869</v>
      </c>
      <c r="P870" s="10">
        <v>1484.4873046875</v>
      </c>
    </row>
    <row r="871" spans="15:16" x14ac:dyDescent="0.2">
      <c r="O871">
        <v>870</v>
      </c>
      <c r="P871" s="10">
        <v>1493.30859375</v>
      </c>
    </row>
    <row r="872" spans="15:16" x14ac:dyDescent="0.2">
      <c r="O872">
        <v>871</v>
      </c>
      <c r="P872" s="10">
        <v>1486.871459960938</v>
      </c>
    </row>
    <row r="873" spans="15:16" x14ac:dyDescent="0.2">
      <c r="O873" s="11">
        <v>872</v>
      </c>
      <c r="P873" s="10">
        <v>1478.670043945312</v>
      </c>
    </row>
    <row r="874" spans="15:16" x14ac:dyDescent="0.2">
      <c r="O874">
        <v>873</v>
      </c>
      <c r="P874" s="10">
        <v>1468.370727539062</v>
      </c>
    </row>
    <row r="875" spans="15:16" x14ac:dyDescent="0.2">
      <c r="O875">
        <v>874</v>
      </c>
      <c r="P875" s="10">
        <v>1492.30712890625</v>
      </c>
    </row>
    <row r="876" spans="15:16" x14ac:dyDescent="0.2">
      <c r="O876" s="11">
        <v>875</v>
      </c>
      <c r="P876" s="10">
        <v>1457.690063476562</v>
      </c>
    </row>
    <row r="877" spans="15:16" x14ac:dyDescent="0.2">
      <c r="O877">
        <v>876</v>
      </c>
      <c r="P877" s="10">
        <v>1449.20263671875</v>
      </c>
    </row>
    <row r="878" spans="15:16" x14ac:dyDescent="0.2">
      <c r="O878">
        <v>877</v>
      </c>
      <c r="P878" s="10">
        <v>1410.818481445312</v>
      </c>
    </row>
    <row r="879" spans="15:16" x14ac:dyDescent="0.2">
      <c r="O879" s="11">
        <v>878</v>
      </c>
      <c r="P879" s="10">
        <v>1393.748168945312</v>
      </c>
    </row>
    <row r="880" spans="15:16" x14ac:dyDescent="0.2">
      <c r="O880">
        <v>879</v>
      </c>
      <c r="P880" s="10">
        <v>1386.452880859375</v>
      </c>
    </row>
    <row r="881" spans="15:16" x14ac:dyDescent="0.2">
      <c r="O881">
        <v>880</v>
      </c>
      <c r="P881" s="10">
        <v>1393.08056640625</v>
      </c>
    </row>
    <row r="882" spans="15:16" x14ac:dyDescent="0.2">
      <c r="O882" s="11">
        <v>881</v>
      </c>
      <c r="P882" s="10">
        <v>1383.544311523438</v>
      </c>
    </row>
    <row r="883" spans="15:16" x14ac:dyDescent="0.2">
      <c r="O883">
        <v>882</v>
      </c>
      <c r="P883" s="10">
        <v>1372.196044921875</v>
      </c>
    </row>
    <row r="884" spans="15:16" x14ac:dyDescent="0.2">
      <c r="O884">
        <v>883</v>
      </c>
      <c r="P884" s="10">
        <v>1377.15478515625</v>
      </c>
    </row>
    <row r="885" spans="15:16" x14ac:dyDescent="0.2">
      <c r="O885" s="11">
        <v>884</v>
      </c>
      <c r="P885" s="10">
        <v>1378.203735351562</v>
      </c>
    </row>
    <row r="886" spans="15:16" x14ac:dyDescent="0.2">
      <c r="O886">
        <v>885</v>
      </c>
      <c r="P886" s="10">
        <v>1374.96142578125</v>
      </c>
    </row>
    <row r="887" spans="15:16" x14ac:dyDescent="0.2">
      <c r="O887">
        <v>886</v>
      </c>
      <c r="P887" s="10">
        <v>1359.560180664062</v>
      </c>
    </row>
    <row r="888" spans="15:16" x14ac:dyDescent="0.2">
      <c r="O888" s="11">
        <v>887</v>
      </c>
      <c r="P888" s="10">
        <v>1404.762817382812</v>
      </c>
    </row>
    <row r="889" spans="15:16" x14ac:dyDescent="0.2">
      <c r="O889">
        <v>888</v>
      </c>
      <c r="P889" s="10">
        <v>1430.558715820312</v>
      </c>
    </row>
    <row r="890" spans="15:16" x14ac:dyDescent="0.2">
      <c r="O890">
        <v>889</v>
      </c>
      <c r="P890" s="10">
        <v>1430.463500976562</v>
      </c>
    </row>
    <row r="891" spans="15:16" x14ac:dyDescent="0.2">
      <c r="O891" s="11">
        <v>890</v>
      </c>
      <c r="P891" s="10">
        <v>1432.799926757812</v>
      </c>
    </row>
    <row r="892" spans="15:16" x14ac:dyDescent="0.2">
      <c r="O892">
        <v>891</v>
      </c>
      <c r="P892" s="10">
        <v>1441.096557617188</v>
      </c>
    </row>
    <row r="893" spans="15:16" x14ac:dyDescent="0.2">
      <c r="O893">
        <v>892</v>
      </c>
      <c r="P893" s="10">
        <v>1451.96826171875</v>
      </c>
    </row>
    <row r="894" spans="15:16" x14ac:dyDescent="0.2">
      <c r="O894" s="11">
        <v>893</v>
      </c>
      <c r="P894" s="10">
        <v>1456.068725585938</v>
      </c>
    </row>
    <row r="895" spans="15:16" x14ac:dyDescent="0.2">
      <c r="O895">
        <v>894</v>
      </c>
      <c r="P895" s="10">
        <v>1481.769409179688</v>
      </c>
    </row>
    <row r="896" spans="15:16" x14ac:dyDescent="0.2">
      <c r="O896">
        <v>895</v>
      </c>
      <c r="P896" s="10">
        <v>1454.971923828125</v>
      </c>
    </row>
    <row r="897" spans="15:16" x14ac:dyDescent="0.2">
      <c r="O897" s="11">
        <v>896</v>
      </c>
      <c r="P897" s="10">
        <v>1434.08740234375</v>
      </c>
    </row>
    <row r="898" spans="15:16" x14ac:dyDescent="0.2">
      <c r="O898">
        <v>897</v>
      </c>
      <c r="P898" s="10">
        <v>1443.38525390625</v>
      </c>
    </row>
    <row r="899" spans="15:16" x14ac:dyDescent="0.2">
      <c r="O899">
        <v>898</v>
      </c>
      <c r="P899" s="10">
        <v>1455.019775390625</v>
      </c>
    </row>
    <row r="900" spans="15:16" x14ac:dyDescent="0.2">
      <c r="O900" s="11">
        <v>899</v>
      </c>
      <c r="P900" s="10">
        <v>1434.89794921875</v>
      </c>
    </row>
    <row r="901" spans="15:16" x14ac:dyDescent="0.2">
      <c r="O901">
        <v>900</v>
      </c>
      <c r="P901" s="10">
        <v>1424.3125</v>
      </c>
    </row>
    <row r="902" spans="15:16" x14ac:dyDescent="0.2">
      <c r="O902">
        <v>901</v>
      </c>
      <c r="P902" s="10">
        <v>1431.655395507812</v>
      </c>
    </row>
    <row r="903" spans="15:16" x14ac:dyDescent="0.2">
      <c r="O903" s="11">
        <v>902</v>
      </c>
      <c r="P903" s="10">
        <v>1420.831665039062</v>
      </c>
    </row>
    <row r="904" spans="15:16" x14ac:dyDescent="0.2">
      <c r="O904">
        <v>903</v>
      </c>
      <c r="P904" s="10">
        <v>1455.21044921875</v>
      </c>
    </row>
    <row r="905" spans="15:16" x14ac:dyDescent="0.2">
      <c r="O905">
        <v>904</v>
      </c>
      <c r="P905" s="10">
        <v>1447.676635742188</v>
      </c>
    </row>
    <row r="906" spans="15:16" x14ac:dyDescent="0.2">
      <c r="O906" s="11">
        <v>905</v>
      </c>
      <c r="P906" s="10">
        <v>1445.292602539062</v>
      </c>
    </row>
    <row r="907" spans="15:16" x14ac:dyDescent="0.2">
      <c r="O907">
        <v>906</v>
      </c>
      <c r="P907" s="10">
        <v>1445.101806640625</v>
      </c>
    </row>
    <row r="908" spans="15:16" x14ac:dyDescent="0.2">
      <c r="O908">
        <v>907</v>
      </c>
      <c r="P908" s="10">
        <v>1468.036865234375</v>
      </c>
    </row>
    <row r="909" spans="15:16" x14ac:dyDescent="0.2">
      <c r="O909" s="11">
        <v>908</v>
      </c>
      <c r="P909" s="10">
        <v>1459.835571289062</v>
      </c>
    </row>
    <row r="910" spans="15:16" x14ac:dyDescent="0.2">
      <c r="O910">
        <v>909</v>
      </c>
      <c r="P910" s="10">
        <v>1476.23828125</v>
      </c>
    </row>
    <row r="911" spans="15:16" x14ac:dyDescent="0.2">
      <c r="O911">
        <v>910</v>
      </c>
      <c r="P911" s="10">
        <v>1485.059326171875</v>
      </c>
    </row>
    <row r="912" spans="15:16" x14ac:dyDescent="0.2">
      <c r="O912" s="11">
        <v>911</v>
      </c>
      <c r="P912" s="10">
        <v>1481.006469726562</v>
      </c>
    </row>
    <row r="913" spans="15:16" x14ac:dyDescent="0.2">
      <c r="O913">
        <v>912</v>
      </c>
      <c r="P913" s="10">
        <v>1476.524291992188</v>
      </c>
    </row>
    <row r="914" spans="15:16" x14ac:dyDescent="0.2">
      <c r="O914">
        <v>913</v>
      </c>
      <c r="P914" s="10">
        <v>1483.152221679688</v>
      </c>
    </row>
    <row r="915" spans="15:16" x14ac:dyDescent="0.2">
      <c r="O915" s="11">
        <v>914</v>
      </c>
      <c r="P915" s="10">
        <v>1499.364135742188</v>
      </c>
    </row>
    <row r="916" spans="15:16" x14ac:dyDescent="0.2">
      <c r="O916">
        <v>915</v>
      </c>
      <c r="P916" s="10">
        <v>1526.066040039062</v>
      </c>
    </row>
    <row r="917" spans="15:16" x14ac:dyDescent="0.2">
      <c r="O917">
        <v>916</v>
      </c>
      <c r="P917" s="10">
        <v>1520.05810546875</v>
      </c>
    </row>
    <row r="918" spans="15:16" x14ac:dyDescent="0.2">
      <c r="O918" s="11">
        <v>917</v>
      </c>
      <c r="P918" s="10">
        <v>1508.137573242188</v>
      </c>
    </row>
    <row r="919" spans="15:16" x14ac:dyDescent="0.2">
      <c r="O919">
        <v>918</v>
      </c>
      <c r="P919" s="10">
        <v>1532.264770507812</v>
      </c>
    </row>
    <row r="920" spans="15:16" x14ac:dyDescent="0.2">
      <c r="O920">
        <v>919</v>
      </c>
      <c r="P920" s="10">
        <v>1530.882202148438</v>
      </c>
    </row>
    <row r="921" spans="15:16" x14ac:dyDescent="0.2">
      <c r="O921" s="11">
        <v>920</v>
      </c>
      <c r="P921" s="10">
        <v>1509.47265625</v>
      </c>
    </row>
    <row r="922" spans="15:16" x14ac:dyDescent="0.2">
      <c r="O922">
        <v>921</v>
      </c>
      <c r="P922" s="10">
        <v>1519.724365234375</v>
      </c>
    </row>
    <row r="923" spans="15:16" x14ac:dyDescent="0.2">
      <c r="O923">
        <v>922</v>
      </c>
      <c r="P923" s="10">
        <v>1566.6435546875</v>
      </c>
    </row>
    <row r="924" spans="15:16" x14ac:dyDescent="0.2">
      <c r="O924" s="11">
        <v>923</v>
      </c>
      <c r="P924" s="10">
        <v>1576.13232421875</v>
      </c>
    </row>
    <row r="925" spans="15:16" x14ac:dyDescent="0.2">
      <c r="O925">
        <v>924</v>
      </c>
      <c r="P925" s="10">
        <v>1580.185180664062</v>
      </c>
    </row>
    <row r="926" spans="15:16" x14ac:dyDescent="0.2">
      <c r="O926">
        <v>925</v>
      </c>
      <c r="P926" s="10">
        <v>1602.834228515625</v>
      </c>
    </row>
    <row r="927" spans="15:16" x14ac:dyDescent="0.2">
      <c r="O927" s="11">
        <v>926</v>
      </c>
      <c r="P927" s="10">
        <v>1598.590698242188</v>
      </c>
    </row>
    <row r="928" spans="15:16" x14ac:dyDescent="0.2">
      <c r="O928">
        <v>927</v>
      </c>
      <c r="P928" s="10">
        <v>1596.254150390625</v>
      </c>
    </row>
    <row r="929" spans="15:16" x14ac:dyDescent="0.2">
      <c r="O929">
        <v>928</v>
      </c>
      <c r="P929" s="10">
        <v>1610.415771484375</v>
      </c>
    </row>
    <row r="930" spans="15:16" x14ac:dyDescent="0.2">
      <c r="O930" s="11">
        <v>929</v>
      </c>
      <c r="P930" s="10">
        <v>1592.868774414062</v>
      </c>
    </row>
    <row r="931" spans="15:16" x14ac:dyDescent="0.2">
      <c r="O931">
        <v>930</v>
      </c>
      <c r="P931" s="10">
        <v>1609.176025390625</v>
      </c>
    </row>
    <row r="932" spans="15:16" x14ac:dyDescent="0.2">
      <c r="O932">
        <v>931</v>
      </c>
      <c r="P932" s="10">
        <v>1563.401123046875</v>
      </c>
    </row>
    <row r="933" spans="15:16" x14ac:dyDescent="0.2">
      <c r="O933" s="11">
        <v>932</v>
      </c>
      <c r="P933" s="10">
        <v>1554.055419921875</v>
      </c>
    </row>
    <row r="934" spans="15:16" x14ac:dyDescent="0.2">
      <c r="O934">
        <v>933</v>
      </c>
      <c r="P934" s="10">
        <v>1558.060668945312</v>
      </c>
    </row>
    <row r="935" spans="15:16" x14ac:dyDescent="0.2">
      <c r="O935">
        <v>934</v>
      </c>
      <c r="P935" s="10">
        <v>1528.354736328125</v>
      </c>
    </row>
    <row r="936" spans="15:16" x14ac:dyDescent="0.2">
      <c r="O936" s="11">
        <v>935</v>
      </c>
      <c r="P936" s="10">
        <v>1535.840942382812</v>
      </c>
    </row>
    <row r="937" spans="15:16" x14ac:dyDescent="0.2">
      <c r="O937">
        <v>936</v>
      </c>
      <c r="P937" s="10">
        <v>1540.036987304688</v>
      </c>
    </row>
    <row r="938" spans="15:16" x14ac:dyDescent="0.2">
      <c r="O938">
        <v>937</v>
      </c>
      <c r="P938" s="10">
        <v>1521.488525390625</v>
      </c>
    </row>
    <row r="939" spans="15:16" x14ac:dyDescent="0.2">
      <c r="O939" s="11">
        <v>938</v>
      </c>
      <c r="P939" s="10">
        <v>1512.23828125</v>
      </c>
    </row>
    <row r="940" spans="15:16" x14ac:dyDescent="0.2">
      <c r="O940">
        <v>939</v>
      </c>
      <c r="P940" s="10">
        <v>1509.32958984375</v>
      </c>
    </row>
    <row r="941" spans="15:16" x14ac:dyDescent="0.2">
      <c r="O941">
        <v>940</v>
      </c>
      <c r="P941" s="10">
        <v>1521.01171875</v>
      </c>
    </row>
    <row r="942" spans="15:16" x14ac:dyDescent="0.2">
      <c r="O942" s="11">
        <v>941</v>
      </c>
      <c r="P942" s="10">
        <v>1519.962768554688</v>
      </c>
    </row>
    <row r="943" spans="15:16" x14ac:dyDescent="0.2">
      <c r="O943">
        <v>942</v>
      </c>
      <c r="P943" s="10">
        <v>1540.180053710938</v>
      </c>
    </row>
    <row r="944" spans="15:16" x14ac:dyDescent="0.2">
      <c r="O944">
        <v>943</v>
      </c>
      <c r="P944" s="10">
        <v>1549.764038085938</v>
      </c>
    </row>
    <row r="945" spans="15:16" x14ac:dyDescent="0.2">
      <c r="O945" s="11">
        <v>944</v>
      </c>
      <c r="P945" s="10">
        <v>1527.305908203125</v>
      </c>
    </row>
    <row r="946" spans="15:16" x14ac:dyDescent="0.2">
      <c r="O946">
        <v>945</v>
      </c>
      <c r="P946" s="10">
        <v>1497.218383789062</v>
      </c>
    </row>
    <row r="947" spans="15:16" x14ac:dyDescent="0.2">
      <c r="O947">
        <v>946</v>
      </c>
      <c r="P947" s="10">
        <v>1462.60107421875</v>
      </c>
    </row>
    <row r="948" spans="15:16" x14ac:dyDescent="0.2">
      <c r="O948" s="11">
        <v>947</v>
      </c>
      <c r="P948" s="10">
        <v>1480.005126953125</v>
      </c>
    </row>
    <row r="949" spans="15:16" x14ac:dyDescent="0.2">
      <c r="O949">
        <v>948</v>
      </c>
      <c r="P949" s="10">
        <v>1487.538818359375</v>
      </c>
    </row>
    <row r="950" spans="15:16" x14ac:dyDescent="0.2">
      <c r="O950">
        <v>949</v>
      </c>
      <c r="P950" s="10">
        <v>1508.80517578125</v>
      </c>
    </row>
    <row r="951" spans="15:16" x14ac:dyDescent="0.2">
      <c r="O951" s="11">
        <v>950</v>
      </c>
      <c r="P951" s="10">
        <v>1487.634155273438</v>
      </c>
    </row>
    <row r="952" spans="15:16" x14ac:dyDescent="0.2">
      <c r="O952">
        <v>951</v>
      </c>
      <c r="P952" s="10">
        <v>1475.093994140625</v>
      </c>
    </row>
    <row r="953" spans="15:16" x14ac:dyDescent="0.2">
      <c r="O953">
        <v>952</v>
      </c>
      <c r="P953" s="10">
        <v>1476.7626953125</v>
      </c>
    </row>
    <row r="954" spans="15:16" x14ac:dyDescent="0.2">
      <c r="O954" s="11">
        <v>953</v>
      </c>
      <c r="P954" s="10">
        <v>1483.438232421875</v>
      </c>
    </row>
    <row r="955" spans="15:16" x14ac:dyDescent="0.2">
      <c r="O955">
        <v>954</v>
      </c>
      <c r="P955" s="10">
        <v>1495.88330078125</v>
      </c>
    </row>
    <row r="956" spans="15:16" x14ac:dyDescent="0.2">
      <c r="O956">
        <v>955</v>
      </c>
      <c r="P956" s="10">
        <v>1503.32177734375</v>
      </c>
    </row>
    <row r="957" spans="15:16" x14ac:dyDescent="0.2">
      <c r="O957" s="11">
        <v>956</v>
      </c>
      <c r="P957" s="10">
        <v>1496.503173828125</v>
      </c>
    </row>
    <row r="958" spans="15:16" x14ac:dyDescent="0.2">
      <c r="O958">
        <v>957</v>
      </c>
      <c r="P958" s="10">
        <v>1493.11767578125</v>
      </c>
    </row>
    <row r="959" spans="15:16" x14ac:dyDescent="0.2">
      <c r="O959">
        <v>958</v>
      </c>
      <c r="P959" s="10">
        <v>1502.988159179688</v>
      </c>
    </row>
    <row r="960" spans="15:16" x14ac:dyDescent="0.2">
      <c r="O960" s="11">
        <v>959</v>
      </c>
      <c r="P960" s="10">
        <v>1515.337646484375</v>
      </c>
    </row>
    <row r="961" spans="15:16" x14ac:dyDescent="0.2">
      <c r="O961">
        <v>960</v>
      </c>
      <c r="P961" s="10">
        <v>1505.896484375</v>
      </c>
    </row>
    <row r="962" spans="15:16" x14ac:dyDescent="0.2">
      <c r="O962">
        <v>961</v>
      </c>
      <c r="P962" s="10">
        <v>1508.08984375</v>
      </c>
    </row>
    <row r="963" spans="15:16" x14ac:dyDescent="0.2">
      <c r="O963" s="11">
        <v>962</v>
      </c>
      <c r="P963" s="10">
        <v>1495.549438476562</v>
      </c>
    </row>
    <row r="964" spans="15:16" x14ac:dyDescent="0.2">
      <c r="O964">
        <v>963</v>
      </c>
      <c r="P964" s="10">
        <v>1476.66748046875</v>
      </c>
    </row>
    <row r="965" spans="15:16" x14ac:dyDescent="0.2">
      <c r="O965">
        <v>964</v>
      </c>
      <c r="P965" s="10">
        <v>1482.72314453125</v>
      </c>
    </row>
    <row r="966" spans="15:16" x14ac:dyDescent="0.2">
      <c r="O966" s="11">
        <v>965</v>
      </c>
      <c r="P966" s="10">
        <v>1485.202514648438</v>
      </c>
    </row>
    <row r="967" spans="15:16" x14ac:dyDescent="0.2">
      <c r="O967">
        <v>966</v>
      </c>
      <c r="P967" s="10">
        <v>1486.585327148438</v>
      </c>
    </row>
    <row r="968" spans="15:16" x14ac:dyDescent="0.2">
      <c r="O968">
        <v>967</v>
      </c>
      <c r="P968" s="10">
        <v>1453.922973632812</v>
      </c>
    </row>
    <row r="969" spans="15:16" x14ac:dyDescent="0.2">
      <c r="O969" s="11">
        <v>968</v>
      </c>
      <c r="P969" s="10">
        <v>1444.529663085938</v>
      </c>
    </row>
    <row r="970" spans="15:16" x14ac:dyDescent="0.2">
      <c r="O970">
        <v>969</v>
      </c>
      <c r="P970" s="10">
        <v>1442.86083984375</v>
      </c>
    </row>
    <row r="971" spans="15:16" x14ac:dyDescent="0.2">
      <c r="O971">
        <v>970</v>
      </c>
      <c r="P971" s="10">
        <v>1444.434326171875</v>
      </c>
    </row>
    <row r="972" spans="15:16" x14ac:dyDescent="0.2">
      <c r="O972" s="11">
        <v>971</v>
      </c>
      <c r="P972" s="10">
        <v>1459.644897460938</v>
      </c>
    </row>
    <row r="973" spans="15:16" x14ac:dyDescent="0.2">
      <c r="O973">
        <v>972</v>
      </c>
      <c r="P973" s="10">
        <v>1455.448852539062</v>
      </c>
    </row>
    <row r="974" spans="15:16" x14ac:dyDescent="0.2">
      <c r="O974">
        <v>973</v>
      </c>
      <c r="P974" s="10">
        <v>1431.798583984375</v>
      </c>
    </row>
    <row r="975" spans="15:16" x14ac:dyDescent="0.2">
      <c r="O975" s="11">
        <v>974</v>
      </c>
      <c r="P975" s="10">
        <v>1425.647583007812</v>
      </c>
    </row>
    <row r="976" spans="15:16" x14ac:dyDescent="0.2">
      <c r="O976">
        <v>975</v>
      </c>
      <c r="P976" s="10">
        <v>1437.7587890625</v>
      </c>
    </row>
    <row r="977" spans="15:16" x14ac:dyDescent="0.2">
      <c r="O977">
        <v>976</v>
      </c>
      <c r="P977" s="10">
        <v>1434.1826171875</v>
      </c>
    </row>
    <row r="978" spans="15:16" x14ac:dyDescent="0.2">
      <c r="O978" s="11">
        <v>977</v>
      </c>
      <c r="P978" s="10">
        <v>1423.454223632812</v>
      </c>
    </row>
    <row r="979" spans="15:16" x14ac:dyDescent="0.2">
      <c r="O979">
        <v>978</v>
      </c>
      <c r="P979" s="10">
        <v>1416.015747070312</v>
      </c>
    </row>
    <row r="980" spans="15:16" x14ac:dyDescent="0.2">
      <c r="O980">
        <v>979</v>
      </c>
      <c r="P980" s="10">
        <v>1397.372192382812</v>
      </c>
    </row>
    <row r="981" spans="15:16" x14ac:dyDescent="0.2">
      <c r="O981" s="11">
        <v>980</v>
      </c>
      <c r="P981" s="10">
        <v>1368.190551757812</v>
      </c>
    </row>
    <row r="982" spans="15:16" x14ac:dyDescent="0.2">
      <c r="O982">
        <v>981</v>
      </c>
      <c r="P982" s="10">
        <v>1356.69921875</v>
      </c>
    </row>
    <row r="983" spans="15:16" x14ac:dyDescent="0.2">
      <c r="O983">
        <v>982</v>
      </c>
      <c r="P983" s="10">
        <v>1360.322998046875</v>
      </c>
    </row>
    <row r="984" spans="15:16" x14ac:dyDescent="0.2">
      <c r="O984" s="11">
        <v>983</v>
      </c>
      <c r="P984" s="10">
        <v>1352.503173828125</v>
      </c>
    </row>
    <row r="985" spans="15:16" x14ac:dyDescent="0.2">
      <c r="O985">
        <v>984</v>
      </c>
      <c r="P985" s="10">
        <v>1351.597290039062</v>
      </c>
    </row>
    <row r="986" spans="15:16" x14ac:dyDescent="0.2">
      <c r="O986">
        <v>985</v>
      </c>
      <c r="P986" s="10">
        <v>1373.006469726562</v>
      </c>
    </row>
    <row r="987" spans="15:16" x14ac:dyDescent="0.2">
      <c r="O987" s="11">
        <v>986</v>
      </c>
      <c r="P987" s="10">
        <v>1368.047485351562</v>
      </c>
    </row>
    <row r="988" spans="15:16" x14ac:dyDescent="0.2">
      <c r="O988">
        <v>987</v>
      </c>
      <c r="P988" s="10">
        <v>1375.867431640625</v>
      </c>
    </row>
    <row r="989" spans="15:16" x14ac:dyDescent="0.2">
      <c r="O989">
        <v>988</v>
      </c>
      <c r="P989" s="10">
        <v>1381.541625976562</v>
      </c>
    </row>
    <row r="990" spans="15:16" x14ac:dyDescent="0.2">
      <c r="O990" s="11">
        <v>989</v>
      </c>
      <c r="P990" s="10">
        <v>1376.248779296875</v>
      </c>
    </row>
    <row r="991" spans="15:16" x14ac:dyDescent="0.2">
      <c r="O991">
        <v>990</v>
      </c>
      <c r="P991" s="10">
        <v>1402.807861328125</v>
      </c>
    </row>
    <row r="992" spans="15:16" x14ac:dyDescent="0.2">
      <c r="O992">
        <v>991</v>
      </c>
      <c r="P992" s="10">
        <v>1451.77734375</v>
      </c>
    </row>
    <row r="993" spans="15:16" x14ac:dyDescent="0.2">
      <c r="O993" s="11">
        <v>992</v>
      </c>
      <c r="P993" s="10">
        <v>1450.203857421875</v>
      </c>
    </row>
    <row r="994" spans="15:16" x14ac:dyDescent="0.2">
      <c r="O994">
        <v>993</v>
      </c>
      <c r="P994" s="10">
        <v>1429.652954101562</v>
      </c>
    </row>
    <row r="995" spans="15:16" x14ac:dyDescent="0.2">
      <c r="O995">
        <v>994</v>
      </c>
      <c r="P995" s="10">
        <v>1432.227783203125</v>
      </c>
    </row>
    <row r="996" spans="15:16" x14ac:dyDescent="0.2">
      <c r="O996" s="11">
        <v>995</v>
      </c>
      <c r="P996" s="10">
        <v>1418.066040039062</v>
      </c>
    </row>
    <row r="997" spans="15:16" x14ac:dyDescent="0.2">
      <c r="O997">
        <v>996</v>
      </c>
      <c r="P997" s="10">
        <v>1432.370849609375</v>
      </c>
    </row>
    <row r="998" spans="15:16" x14ac:dyDescent="0.2">
      <c r="O998">
        <v>997</v>
      </c>
      <c r="P998" s="10">
        <v>1449.965454101562</v>
      </c>
    </row>
    <row r="999" spans="15:16" x14ac:dyDescent="0.2">
      <c r="O999" s="11">
        <v>998</v>
      </c>
      <c r="P999" s="10">
        <v>1468.13232421875</v>
      </c>
    </row>
    <row r="1000" spans="15:16" x14ac:dyDescent="0.2">
      <c r="O1000">
        <v>999</v>
      </c>
      <c r="P1000" s="10">
        <v>1463.554809570312</v>
      </c>
    </row>
    <row r="1001" spans="15:16" x14ac:dyDescent="0.2">
      <c r="O1001">
        <v>1000</v>
      </c>
      <c r="P1001" s="10">
        <v>1426.124389648438</v>
      </c>
    </row>
    <row r="1002" spans="15:16" x14ac:dyDescent="0.2">
      <c r="O1002" s="11">
        <v>1001</v>
      </c>
      <c r="P1002" s="10">
        <v>1411.77197265625</v>
      </c>
    </row>
    <row r="1003" spans="15:16" x14ac:dyDescent="0.2">
      <c r="O1003">
        <v>1002</v>
      </c>
      <c r="P1003" s="10">
        <v>1417.82763671875</v>
      </c>
    </row>
    <row r="1004" spans="15:16" x14ac:dyDescent="0.2">
      <c r="O1004">
        <v>1003</v>
      </c>
      <c r="P1004" s="10">
        <v>1428.460693359375</v>
      </c>
    </row>
    <row r="1005" spans="15:16" x14ac:dyDescent="0.2">
      <c r="O1005" s="11">
        <v>1004</v>
      </c>
      <c r="P1005" s="10">
        <v>1432.418334960938</v>
      </c>
    </row>
    <row r="1006" spans="15:16" x14ac:dyDescent="0.2">
      <c r="O1006">
        <v>1005</v>
      </c>
      <c r="P1006" s="10">
        <v>1432.227783203125</v>
      </c>
    </row>
    <row r="1007" spans="15:16" x14ac:dyDescent="0.2">
      <c r="O1007">
        <v>1006</v>
      </c>
      <c r="P1007" s="10">
        <v>1438.636962890625</v>
      </c>
    </row>
    <row r="1008" spans="15:16" x14ac:dyDescent="0.2">
      <c r="O1008" s="11">
        <v>1007</v>
      </c>
      <c r="P1008" s="10">
        <v>1430.233642578125</v>
      </c>
    </row>
    <row r="1009" spans="15:16" x14ac:dyDescent="0.2">
      <c r="O1009">
        <v>1008</v>
      </c>
      <c r="P1009" s="10">
        <v>1410.530883789062</v>
      </c>
    </row>
    <row r="1010" spans="15:16" x14ac:dyDescent="0.2">
      <c r="O1010">
        <v>1009</v>
      </c>
      <c r="P1010" s="10">
        <v>1408.91650390625</v>
      </c>
    </row>
    <row r="1011" spans="15:16" x14ac:dyDescent="0.2">
      <c r="O1011" s="11">
        <v>1010</v>
      </c>
      <c r="P1011" s="10">
        <v>1413.569213867188</v>
      </c>
    </row>
    <row r="1012" spans="15:16" x14ac:dyDescent="0.2">
      <c r="O1012">
        <v>1011</v>
      </c>
      <c r="P1012" s="10">
        <v>1405.11865234375</v>
      </c>
    </row>
    <row r="1013" spans="15:16" x14ac:dyDescent="0.2">
      <c r="O1013">
        <v>1012</v>
      </c>
      <c r="P1013" s="10">
        <v>1392.109985351562</v>
      </c>
    </row>
    <row r="1014" spans="15:16" x14ac:dyDescent="0.2">
      <c r="O1014" s="11">
        <v>1013</v>
      </c>
      <c r="P1014" s="10">
        <v>1409.67626953125</v>
      </c>
    </row>
    <row r="1015" spans="15:16" x14ac:dyDescent="0.2">
      <c r="O1015">
        <v>1014</v>
      </c>
      <c r="P1015" s="10">
        <v>1415.041015625</v>
      </c>
    </row>
    <row r="1016" spans="15:16" x14ac:dyDescent="0.2">
      <c r="O1016">
        <v>1015</v>
      </c>
      <c r="P1016" s="10">
        <v>1404.7861328125</v>
      </c>
    </row>
    <row r="1017" spans="15:16" x14ac:dyDescent="0.2">
      <c r="O1017" s="11">
        <v>1016</v>
      </c>
      <c r="P1017" s="10">
        <v>1411.337890625</v>
      </c>
    </row>
    <row r="1018" spans="15:16" x14ac:dyDescent="0.2">
      <c r="O1018">
        <v>1017</v>
      </c>
      <c r="P1018" s="10">
        <v>1406.305541992188</v>
      </c>
    </row>
    <row r="1019" spans="15:16" x14ac:dyDescent="0.2">
      <c r="O1019">
        <v>1018</v>
      </c>
      <c r="P1019" s="10">
        <v>1405.59326171875</v>
      </c>
    </row>
    <row r="1020" spans="15:16" x14ac:dyDescent="0.2">
      <c r="O1020" s="11">
        <v>1019</v>
      </c>
      <c r="P1020" s="10">
        <v>1408.20458984375</v>
      </c>
    </row>
    <row r="1021" spans="15:16" x14ac:dyDescent="0.2">
      <c r="O1021">
        <v>1020</v>
      </c>
      <c r="P1021" s="10">
        <v>1424.156616210938</v>
      </c>
    </row>
    <row r="1022" spans="15:16" x14ac:dyDescent="0.2">
      <c r="O1022">
        <v>1021</v>
      </c>
      <c r="P1022" s="10">
        <v>1425.201171875</v>
      </c>
    </row>
    <row r="1023" spans="15:16" x14ac:dyDescent="0.2">
      <c r="O1023" s="11">
        <v>1022</v>
      </c>
      <c r="P1023" s="10">
        <v>1443.81201171875</v>
      </c>
    </row>
    <row r="1024" spans="15:16" x14ac:dyDescent="0.2">
      <c r="O1024">
        <v>1023</v>
      </c>
      <c r="P1024" s="10">
        <v>1428.097290039062</v>
      </c>
    </row>
    <row r="1025" spans="15:16" x14ac:dyDescent="0.2">
      <c r="O1025">
        <v>1024</v>
      </c>
      <c r="P1025" s="10">
        <v>1435.408569335938</v>
      </c>
    </row>
    <row r="1026" spans="15:16" x14ac:dyDescent="0.2">
      <c r="O1026" s="11">
        <v>1025</v>
      </c>
      <c r="P1026" s="10">
        <v>1439.34912109375</v>
      </c>
    </row>
    <row r="1027" spans="15:16" x14ac:dyDescent="0.2">
      <c r="O1027">
        <v>1026</v>
      </c>
      <c r="P1027" s="10">
        <v>1427.574951171875</v>
      </c>
    </row>
    <row r="1028" spans="15:16" x14ac:dyDescent="0.2">
      <c r="O1028">
        <v>1027</v>
      </c>
      <c r="P1028" s="10">
        <v>1407.82470703125</v>
      </c>
    </row>
    <row r="1029" spans="15:16" x14ac:dyDescent="0.2">
      <c r="O1029" s="11">
        <v>1028</v>
      </c>
      <c r="P1029" s="10">
        <v>1402.50732421875</v>
      </c>
    </row>
    <row r="1030" spans="15:16" x14ac:dyDescent="0.2">
      <c r="O1030">
        <v>1029</v>
      </c>
      <c r="P1030" s="10">
        <v>1404.311279296875</v>
      </c>
    </row>
    <row r="1031" spans="15:16" x14ac:dyDescent="0.2">
      <c r="O1031">
        <v>1030</v>
      </c>
      <c r="P1031" s="10">
        <v>1433.746826171875</v>
      </c>
    </row>
    <row r="1032" spans="15:16" x14ac:dyDescent="0.2">
      <c r="O1032" s="11">
        <v>1031</v>
      </c>
      <c r="P1032" s="10">
        <v>1421.7353515625</v>
      </c>
    </row>
    <row r="1033" spans="15:16" x14ac:dyDescent="0.2">
      <c r="O1033">
        <v>1032</v>
      </c>
      <c r="P1033" s="10">
        <v>1360.490478515625</v>
      </c>
    </row>
    <row r="1034" spans="15:16" x14ac:dyDescent="0.2">
      <c r="O1034">
        <v>1033</v>
      </c>
      <c r="P1034" s="10">
        <v>1384.608520507812</v>
      </c>
    </row>
    <row r="1035" spans="15:16" x14ac:dyDescent="0.2">
      <c r="O1035" s="11">
        <v>1034</v>
      </c>
      <c r="P1035" s="10">
        <v>1402.174926757812</v>
      </c>
    </row>
    <row r="1036" spans="15:16" x14ac:dyDescent="0.2">
      <c r="O1036">
        <v>1035</v>
      </c>
      <c r="P1036" s="10">
        <v>1367.564575195312</v>
      </c>
    </row>
    <row r="1037" spans="15:16" x14ac:dyDescent="0.2">
      <c r="O1037">
        <v>1036</v>
      </c>
      <c r="P1037" s="10">
        <v>1316.859375</v>
      </c>
    </row>
    <row r="1038" spans="15:16" x14ac:dyDescent="0.2">
      <c r="O1038" s="11">
        <v>1037</v>
      </c>
      <c r="P1038" s="10">
        <v>1328.87109375</v>
      </c>
    </row>
    <row r="1039" spans="15:16" x14ac:dyDescent="0.2">
      <c r="O1039">
        <v>1038</v>
      </c>
      <c r="P1039" s="10">
        <v>1332.716796875</v>
      </c>
    </row>
    <row r="1040" spans="15:16" x14ac:dyDescent="0.2">
      <c r="O1040">
        <v>1039</v>
      </c>
      <c r="P1040" s="10">
        <v>1348.194091796875</v>
      </c>
    </row>
    <row r="1041" spans="15:16" x14ac:dyDescent="0.2">
      <c r="O1041" s="11">
        <v>1040</v>
      </c>
      <c r="P1041" s="10">
        <v>1343.351196289062</v>
      </c>
    </row>
    <row r="1042" spans="15:16" x14ac:dyDescent="0.2">
      <c r="O1042">
        <v>1041</v>
      </c>
      <c r="P1042" s="10">
        <v>1330.200317382812</v>
      </c>
    </row>
    <row r="1043" spans="15:16" x14ac:dyDescent="0.2">
      <c r="O1043">
        <v>1042</v>
      </c>
      <c r="P1043" s="10">
        <v>1331.814575195312</v>
      </c>
    </row>
    <row r="1044" spans="15:16" x14ac:dyDescent="0.2">
      <c r="O1044" s="11">
        <v>1043</v>
      </c>
      <c r="P1044" s="10">
        <v>1318.28369140625</v>
      </c>
    </row>
    <row r="1045" spans="15:16" x14ac:dyDescent="0.2">
      <c r="O1045">
        <v>1044</v>
      </c>
      <c r="P1045" s="10">
        <v>1343.066650390625</v>
      </c>
    </row>
    <row r="1046" spans="15:16" x14ac:dyDescent="0.2">
      <c r="O1046">
        <v>1045</v>
      </c>
      <c r="P1046" s="10">
        <v>1341.025146484375</v>
      </c>
    </row>
    <row r="1047" spans="15:16" x14ac:dyDescent="0.2">
      <c r="O1047" s="11">
        <v>1046</v>
      </c>
      <c r="P1047" s="10">
        <v>1398.186889648438</v>
      </c>
    </row>
    <row r="1048" spans="15:16" x14ac:dyDescent="0.2">
      <c r="O1048">
        <v>1047</v>
      </c>
      <c r="P1048" s="10">
        <v>1402.27001953125</v>
      </c>
    </row>
    <row r="1049" spans="15:16" x14ac:dyDescent="0.2">
      <c r="O1049">
        <v>1048</v>
      </c>
      <c r="P1049" s="10">
        <v>1366.092651367188</v>
      </c>
    </row>
    <row r="1050" spans="15:16" x14ac:dyDescent="0.2">
      <c r="O1050" s="11">
        <v>1049</v>
      </c>
      <c r="P1050" s="10">
        <v>1333.903686523438</v>
      </c>
    </row>
    <row r="1051" spans="15:16" x14ac:dyDescent="0.2">
      <c r="O1051">
        <v>1050</v>
      </c>
      <c r="P1051" s="10">
        <v>1342.781616210938</v>
      </c>
    </row>
    <row r="1052" spans="15:16" x14ac:dyDescent="0.2">
      <c r="O1052">
        <v>1051</v>
      </c>
      <c r="P1052" s="10">
        <v>1350.710327148438</v>
      </c>
    </row>
    <row r="1053" spans="15:16" x14ac:dyDescent="0.2">
      <c r="O1053" s="11">
        <v>1052</v>
      </c>
      <c r="P1053" s="10">
        <v>1321.179809570312</v>
      </c>
    </row>
    <row r="1054" spans="15:16" x14ac:dyDescent="0.2">
      <c r="O1054">
        <v>1053</v>
      </c>
      <c r="P1054" s="10">
        <v>1341.119995117188</v>
      </c>
    </row>
    <row r="1055" spans="15:16" x14ac:dyDescent="0.2">
      <c r="O1055">
        <v>1054</v>
      </c>
      <c r="P1055" s="10">
        <v>1356.549926757812</v>
      </c>
    </row>
    <row r="1056" spans="15:16" x14ac:dyDescent="0.2">
      <c r="O1056" s="11">
        <v>1055</v>
      </c>
      <c r="P1056" s="10">
        <v>1357.9267578125</v>
      </c>
    </row>
    <row r="1057" spans="15:16" x14ac:dyDescent="0.2">
      <c r="O1057">
        <v>1056</v>
      </c>
      <c r="P1057" s="10">
        <v>1329.67822265625</v>
      </c>
    </row>
    <row r="1058" spans="15:16" x14ac:dyDescent="0.2">
      <c r="O1058">
        <v>1057</v>
      </c>
      <c r="P1058" s="10">
        <v>1298.058837890625</v>
      </c>
    </row>
    <row r="1059" spans="15:16" x14ac:dyDescent="0.2">
      <c r="O1059" s="11">
        <v>1058</v>
      </c>
      <c r="P1059" s="10">
        <v>1349.998046875</v>
      </c>
    </row>
    <row r="1060" spans="15:16" x14ac:dyDescent="0.2">
      <c r="O1060">
        <v>1059</v>
      </c>
      <c r="P1060" s="10">
        <v>1360.490478515625</v>
      </c>
    </row>
    <row r="1061" spans="15:16" x14ac:dyDescent="0.2">
      <c r="O1061">
        <v>1060</v>
      </c>
      <c r="P1061" s="10">
        <v>1374.16357421875</v>
      </c>
    </row>
    <row r="1062" spans="15:16" x14ac:dyDescent="0.2">
      <c r="O1062" s="11">
        <v>1061</v>
      </c>
      <c r="P1062" s="10">
        <v>1367.564575195312</v>
      </c>
    </row>
    <row r="1063" spans="15:16" x14ac:dyDescent="0.2">
      <c r="O1063">
        <v>1062</v>
      </c>
      <c r="P1063" s="10">
        <v>1376.442504882812</v>
      </c>
    </row>
    <row r="1064" spans="15:16" x14ac:dyDescent="0.2">
      <c r="O1064">
        <v>1063</v>
      </c>
      <c r="P1064" s="10">
        <v>1411.7177734375</v>
      </c>
    </row>
    <row r="1065" spans="15:16" x14ac:dyDescent="0.2">
      <c r="O1065" s="11">
        <v>1064</v>
      </c>
      <c r="P1065" s="10">
        <v>1418.26953125</v>
      </c>
    </row>
    <row r="1066" spans="15:16" x14ac:dyDescent="0.2">
      <c r="O1066">
        <v>1065</v>
      </c>
      <c r="P1066" s="10">
        <v>1475.288940429688</v>
      </c>
    </row>
    <row r="1067" spans="15:16" x14ac:dyDescent="0.2">
      <c r="O1067">
        <v>1066</v>
      </c>
      <c r="P1067" s="10">
        <v>1416.038208007812</v>
      </c>
    </row>
    <row r="1068" spans="15:16" x14ac:dyDescent="0.2">
      <c r="O1068" s="11">
        <v>1067</v>
      </c>
      <c r="P1068" s="10">
        <v>1389.49853515625</v>
      </c>
    </row>
    <row r="1069" spans="15:16" x14ac:dyDescent="0.2">
      <c r="O1069">
        <v>1068</v>
      </c>
      <c r="P1069" s="10">
        <v>1404.1689453125</v>
      </c>
    </row>
    <row r="1070" spans="15:16" x14ac:dyDescent="0.2">
      <c r="O1070">
        <v>1069</v>
      </c>
      <c r="P1070" s="10">
        <v>1424.441528320312</v>
      </c>
    </row>
    <row r="1071" spans="15:16" x14ac:dyDescent="0.2">
      <c r="O1071" s="11">
        <v>1070</v>
      </c>
      <c r="P1071" s="10">
        <v>1395.006103515625</v>
      </c>
    </row>
    <row r="1072" spans="15:16" x14ac:dyDescent="0.2">
      <c r="O1072">
        <v>1071</v>
      </c>
      <c r="P1072" s="10">
        <v>1421.925170898438</v>
      </c>
    </row>
    <row r="1073" spans="15:16" x14ac:dyDescent="0.2">
      <c r="O1073">
        <v>1072</v>
      </c>
      <c r="P1073" s="10">
        <v>1415.753295898438</v>
      </c>
    </row>
    <row r="1074" spans="15:16" x14ac:dyDescent="0.2">
      <c r="O1074" s="11">
        <v>1073</v>
      </c>
      <c r="P1074" s="10">
        <v>1419.8837890625</v>
      </c>
    </row>
    <row r="1075" spans="15:16" x14ac:dyDescent="0.2">
      <c r="O1075">
        <v>1074</v>
      </c>
      <c r="P1075" s="10">
        <v>1435.8359375</v>
      </c>
    </row>
    <row r="1076" spans="15:16" x14ac:dyDescent="0.2">
      <c r="O1076">
        <v>1075</v>
      </c>
      <c r="P1076" s="10">
        <v>1451.503295898438</v>
      </c>
    </row>
    <row r="1077" spans="15:16" x14ac:dyDescent="0.2">
      <c r="O1077" s="11">
        <v>1076</v>
      </c>
      <c r="P1077" s="10">
        <v>1473.627319335938</v>
      </c>
    </row>
    <row r="1078" spans="15:16" x14ac:dyDescent="0.2">
      <c r="O1078">
        <v>1077</v>
      </c>
      <c r="P1078" s="10">
        <v>1477.235473632812</v>
      </c>
    </row>
    <row r="1079" spans="15:16" x14ac:dyDescent="0.2">
      <c r="O1079">
        <v>1078</v>
      </c>
      <c r="P1079" s="10">
        <v>1483.644897460938</v>
      </c>
    </row>
    <row r="1080" spans="15:16" x14ac:dyDescent="0.2">
      <c r="O1080" s="11">
        <v>1079</v>
      </c>
      <c r="P1080" s="10">
        <v>1442.814819335938</v>
      </c>
    </row>
    <row r="1081" spans="15:16" x14ac:dyDescent="0.2">
      <c r="O1081">
        <v>1080</v>
      </c>
      <c r="P1081" s="10">
        <v>1452.78515625</v>
      </c>
    </row>
    <row r="1082" spans="15:16" x14ac:dyDescent="0.2">
      <c r="O1082">
        <v>1081</v>
      </c>
      <c r="P1082" s="10">
        <v>1473.722290039062</v>
      </c>
    </row>
    <row r="1083" spans="15:16" x14ac:dyDescent="0.2">
      <c r="O1083" s="11">
        <v>1082</v>
      </c>
      <c r="P1083" s="10">
        <v>1506.765991210938</v>
      </c>
    </row>
    <row r="1084" spans="15:16" x14ac:dyDescent="0.2">
      <c r="O1084">
        <v>1083</v>
      </c>
      <c r="P1084" s="10">
        <v>1489.057250976562</v>
      </c>
    </row>
    <row r="1085" spans="15:16" x14ac:dyDescent="0.2">
      <c r="O1085">
        <v>1084</v>
      </c>
      <c r="P1085" s="10">
        <v>1480.2265625</v>
      </c>
    </row>
    <row r="1086" spans="15:16" x14ac:dyDescent="0.2">
      <c r="O1086" s="11">
        <v>1085</v>
      </c>
      <c r="P1086" s="10">
        <v>1456.963012695312</v>
      </c>
    </row>
    <row r="1087" spans="15:16" x14ac:dyDescent="0.2">
      <c r="O1087">
        <v>1086</v>
      </c>
      <c r="P1087" s="10">
        <v>1525.329345703125</v>
      </c>
    </row>
    <row r="1088" spans="15:16" x14ac:dyDescent="0.2">
      <c r="O1088">
        <v>1087</v>
      </c>
      <c r="P1088" s="10">
        <v>1525.376831054688</v>
      </c>
    </row>
    <row r="1089" spans="15:16" x14ac:dyDescent="0.2">
      <c r="O1089" s="11">
        <v>1088</v>
      </c>
      <c r="P1089" s="10">
        <v>1451.97802734375</v>
      </c>
    </row>
    <row r="1090" spans="15:16" x14ac:dyDescent="0.2">
      <c r="O1090">
        <v>1089</v>
      </c>
      <c r="P1090" s="10">
        <v>1469.876708984375</v>
      </c>
    </row>
    <row r="1091" spans="15:16" x14ac:dyDescent="0.2">
      <c r="O1091">
        <v>1090</v>
      </c>
      <c r="P1091" s="10">
        <v>1461.425659179688</v>
      </c>
    </row>
    <row r="1092" spans="15:16" x14ac:dyDescent="0.2">
      <c r="O1092" s="11">
        <v>1091</v>
      </c>
      <c r="P1092" s="10">
        <v>1475.858764648438</v>
      </c>
    </row>
    <row r="1093" spans="15:16" x14ac:dyDescent="0.2">
      <c r="O1093">
        <v>1092</v>
      </c>
      <c r="P1093" s="10">
        <v>1506.43359375</v>
      </c>
    </row>
    <row r="1094" spans="15:16" x14ac:dyDescent="0.2">
      <c r="O1094">
        <v>1093</v>
      </c>
      <c r="P1094" s="10">
        <v>1544.557373046875</v>
      </c>
    </row>
    <row r="1095" spans="15:16" x14ac:dyDescent="0.2">
      <c r="O1095" s="11">
        <v>1094</v>
      </c>
      <c r="P1095" s="10">
        <v>1535.014526367188</v>
      </c>
    </row>
    <row r="1096" spans="15:16" x14ac:dyDescent="0.2">
      <c r="O1096">
        <v>1095</v>
      </c>
      <c r="P1096" s="10">
        <v>1502.11328125</v>
      </c>
    </row>
    <row r="1097" spans="15:16" x14ac:dyDescent="0.2">
      <c r="O1097">
        <v>1096</v>
      </c>
      <c r="P1097" s="10">
        <v>1492.997680664062</v>
      </c>
    </row>
    <row r="1098" spans="15:16" x14ac:dyDescent="0.2">
      <c r="O1098" s="11">
        <v>1097</v>
      </c>
      <c r="P1098" s="10">
        <v>1501.92333984375</v>
      </c>
    </row>
    <row r="1099" spans="15:16" x14ac:dyDescent="0.2">
      <c r="O1099">
        <v>1098</v>
      </c>
      <c r="P1099" s="10">
        <v>1530.504272460938</v>
      </c>
    </row>
    <row r="1100" spans="15:16" x14ac:dyDescent="0.2">
      <c r="O1100">
        <v>1099</v>
      </c>
      <c r="P1100" s="10">
        <v>1524.237426757812</v>
      </c>
    </row>
    <row r="1101" spans="15:16" x14ac:dyDescent="0.2">
      <c r="O1101" s="11">
        <v>1100</v>
      </c>
      <c r="P1101" s="10">
        <v>1516.973388671875</v>
      </c>
    </row>
    <row r="1102" spans="15:16" x14ac:dyDescent="0.2">
      <c r="O1102">
        <v>1101</v>
      </c>
      <c r="P1102" s="10">
        <v>1499.407104492188</v>
      </c>
    </row>
    <row r="1103" spans="15:16" x14ac:dyDescent="0.2">
      <c r="O1103">
        <v>1102</v>
      </c>
      <c r="P1103" s="10">
        <v>1495.324096679688</v>
      </c>
    </row>
    <row r="1104" spans="15:16" x14ac:dyDescent="0.2">
      <c r="O1104" s="11">
        <v>1103</v>
      </c>
      <c r="P1104" s="10">
        <v>1481.793334960938</v>
      </c>
    </row>
    <row r="1105" spans="15:16" x14ac:dyDescent="0.2">
      <c r="O1105">
        <v>1104</v>
      </c>
      <c r="P1105" s="10">
        <v>1402.222412109375</v>
      </c>
    </row>
    <row r="1106" spans="15:16" x14ac:dyDescent="0.2">
      <c r="O1106">
        <v>1105</v>
      </c>
      <c r="P1106" s="10">
        <v>1320.3251953125</v>
      </c>
    </row>
    <row r="1107" spans="15:16" x14ac:dyDescent="0.2">
      <c r="O1107" s="11">
        <v>1106</v>
      </c>
      <c r="P1107" s="10">
        <v>1302.236572265625</v>
      </c>
    </row>
    <row r="1108" spans="15:16" x14ac:dyDescent="0.2">
      <c r="O1108">
        <v>1107</v>
      </c>
      <c r="P1108" s="10">
        <v>1338.461303710938</v>
      </c>
    </row>
    <row r="1109" spans="15:16" x14ac:dyDescent="0.2">
      <c r="O1109">
        <v>1108</v>
      </c>
      <c r="P1109" s="10">
        <v>1389.023803710938</v>
      </c>
    </row>
    <row r="1110" spans="15:16" x14ac:dyDescent="0.2">
      <c r="O1110" s="11">
        <v>1109</v>
      </c>
      <c r="P1110" s="10">
        <v>1370.697875976562</v>
      </c>
    </row>
    <row r="1111" spans="15:16" x14ac:dyDescent="0.2">
      <c r="O1111">
        <v>1110</v>
      </c>
      <c r="P1111" s="10">
        <v>1400.370849609375</v>
      </c>
    </row>
    <row r="1112" spans="15:16" x14ac:dyDescent="0.2">
      <c r="O1112">
        <v>1111</v>
      </c>
      <c r="P1112" s="10">
        <v>1416.702758789062</v>
      </c>
    </row>
    <row r="1113" spans="15:16" x14ac:dyDescent="0.2">
      <c r="O1113" s="11">
        <v>1112</v>
      </c>
      <c r="P1113" s="10">
        <v>1427.954833984375</v>
      </c>
    </row>
    <row r="1114" spans="15:16" x14ac:dyDescent="0.2">
      <c r="O1114">
        <v>1113</v>
      </c>
      <c r="P1114" s="10">
        <v>1408.251953125</v>
      </c>
    </row>
    <row r="1115" spans="15:16" x14ac:dyDescent="0.2">
      <c r="O1115">
        <v>1114</v>
      </c>
      <c r="P1115" s="10">
        <v>1392.632202148438</v>
      </c>
    </row>
    <row r="1116" spans="15:16" x14ac:dyDescent="0.2">
      <c r="O1116" s="11">
        <v>1115</v>
      </c>
      <c r="P1116" s="10">
        <v>1394.626098632812</v>
      </c>
    </row>
    <row r="1117" spans="15:16" x14ac:dyDescent="0.2">
      <c r="O1117">
        <v>1116</v>
      </c>
      <c r="P1117" s="10">
        <v>1396.430297851562</v>
      </c>
    </row>
    <row r="1118" spans="15:16" x14ac:dyDescent="0.2">
      <c r="O1118">
        <v>1117</v>
      </c>
      <c r="P1118" s="10">
        <v>1406.257934570312</v>
      </c>
    </row>
    <row r="1119" spans="15:16" x14ac:dyDescent="0.2">
      <c r="O1119" s="11">
        <v>1118</v>
      </c>
      <c r="P1119" s="10">
        <v>1378.19921875</v>
      </c>
    </row>
    <row r="1120" spans="15:16" x14ac:dyDescent="0.2">
      <c r="O1120">
        <v>1119</v>
      </c>
      <c r="P1120" s="10">
        <v>1359.3984375</v>
      </c>
    </row>
    <row r="1121" spans="15:16" x14ac:dyDescent="0.2">
      <c r="O1121">
        <v>1120</v>
      </c>
      <c r="P1121" s="10">
        <v>1344.775756835938</v>
      </c>
    </row>
    <row r="1122" spans="15:16" x14ac:dyDescent="0.2">
      <c r="O1122" s="11">
        <v>1121</v>
      </c>
      <c r="P1122" s="10">
        <v>1348.858764648438</v>
      </c>
    </row>
    <row r="1123" spans="15:16" x14ac:dyDescent="0.2">
      <c r="O1123">
        <v>1122</v>
      </c>
      <c r="P1123" s="10">
        <v>1354.698364257812</v>
      </c>
    </row>
    <row r="1124" spans="15:16" x14ac:dyDescent="0.2">
      <c r="O1124">
        <v>1123</v>
      </c>
      <c r="P1124" s="10">
        <v>1344.538330078125</v>
      </c>
    </row>
    <row r="1125" spans="15:16" x14ac:dyDescent="0.2">
      <c r="O1125" s="11">
        <v>1124</v>
      </c>
      <c r="P1125" s="10">
        <v>1353.131713867188</v>
      </c>
    </row>
    <row r="1126" spans="15:16" x14ac:dyDescent="0.2">
      <c r="O1126">
        <v>1125</v>
      </c>
      <c r="P1126" s="10">
        <v>1363.813842773438</v>
      </c>
    </row>
    <row r="1127" spans="15:16" x14ac:dyDescent="0.2">
      <c r="O1127">
        <v>1126</v>
      </c>
      <c r="P1127" s="10">
        <v>1360.20556640625</v>
      </c>
    </row>
    <row r="1128" spans="15:16" x14ac:dyDescent="0.2">
      <c r="O1128" s="11">
        <v>1127</v>
      </c>
      <c r="P1128" s="10">
        <v>1355.173095703125</v>
      </c>
    </row>
    <row r="1129" spans="15:16" x14ac:dyDescent="0.2">
      <c r="O1129">
        <v>1128</v>
      </c>
      <c r="P1129" s="10">
        <v>1341.547241210938</v>
      </c>
    </row>
    <row r="1130" spans="15:16" x14ac:dyDescent="0.2">
      <c r="O1130">
        <v>1129</v>
      </c>
      <c r="P1130" s="10">
        <v>1326.592041015625</v>
      </c>
    </row>
    <row r="1131" spans="15:16" x14ac:dyDescent="0.2">
      <c r="O1131" s="11">
        <v>1130</v>
      </c>
      <c r="P1131" s="10">
        <v>1306.224609375</v>
      </c>
    </row>
    <row r="1132" spans="15:16" x14ac:dyDescent="0.2">
      <c r="O1132">
        <v>1131</v>
      </c>
      <c r="P1132" s="10">
        <v>1303.803344726562</v>
      </c>
    </row>
    <row r="1133" spans="15:16" x14ac:dyDescent="0.2">
      <c r="O1133">
        <v>1132</v>
      </c>
      <c r="P1133" s="10">
        <v>1303.376098632812</v>
      </c>
    </row>
    <row r="1134" spans="15:16" x14ac:dyDescent="0.2">
      <c r="O1134" s="11">
        <v>1133</v>
      </c>
      <c r="P1134" s="10">
        <v>1340.122924804688</v>
      </c>
    </row>
    <row r="1135" spans="15:16" x14ac:dyDescent="0.2">
      <c r="O1135">
        <v>1134</v>
      </c>
      <c r="P1135" s="10">
        <v>1369.036254882812</v>
      </c>
    </row>
    <row r="1136" spans="15:16" x14ac:dyDescent="0.2">
      <c r="O1136">
        <v>1135</v>
      </c>
      <c r="P1136" s="10">
        <v>1339.505615234375</v>
      </c>
    </row>
    <row r="1137" spans="15:16" x14ac:dyDescent="0.2">
      <c r="O1137" s="11">
        <v>1136</v>
      </c>
      <c r="P1137" s="10">
        <v>1321.0849609375</v>
      </c>
    </row>
    <row r="1138" spans="15:16" x14ac:dyDescent="0.2">
      <c r="O1138">
        <v>1137</v>
      </c>
      <c r="P1138" s="10">
        <v>1302.9013671875</v>
      </c>
    </row>
    <row r="1139" spans="15:16" x14ac:dyDescent="0.2">
      <c r="O1139">
        <v>1138</v>
      </c>
      <c r="P1139" s="10">
        <v>1313.013793945312</v>
      </c>
    </row>
    <row r="1140" spans="15:16" x14ac:dyDescent="0.2">
      <c r="O1140" s="11">
        <v>1139</v>
      </c>
      <c r="P1140" s="10">
        <v>1315.909790039062</v>
      </c>
    </row>
    <row r="1141" spans="15:16" x14ac:dyDescent="0.2">
      <c r="O1141">
        <v>1140</v>
      </c>
      <c r="P1141" s="10">
        <v>1336.182373046875</v>
      </c>
    </row>
    <row r="1142" spans="15:16" x14ac:dyDescent="0.2">
      <c r="O1142">
        <v>1141</v>
      </c>
      <c r="P1142" s="10">
        <v>1306.841796875</v>
      </c>
    </row>
    <row r="1143" spans="15:16" x14ac:dyDescent="0.2">
      <c r="O1143" s="11">
        <v>1142</v>
      </c>
      <c r="P1143" s="10">
        <v>1302.996337890625</v>
      </c>
    </row>
    <row r="1144" spans="15:16" x14ac:dyDescent="0.2">
      <c r="O1144">
        <v>1143</v>
      </c>
      <c r="P1144" s="10">
        <v>1315.672485351562</v>
      </c>
    </row>
    <row r="1145" spans="15:16" x14ac:dyDescent="0.2">
      <c r="O1145">
        <v>1144</v>
      </c>
      <c r="P1145" s="10">
        <v>1307.696411132812</v>
      </c>
    </row>
    <row r="1146" spans="15:16" x14ac:dyDescent="0.2">
      <c r="O1146" s="11">
        <v>1145</v>
      </c>
      <c r="P1146" s="10">
        <v>1335.945068359375</v>
      </c>
    </row>
    <row r="1147" spans="15:16" x14ac:dyDescent="0.2">
      <c r="O1147">
        <v>1146</v>
      </c>
      <c r="P1147" s="10">
        <v>1360.96533203125</v>
      </c>
    </row>
    <row r="1148" spans="15:16" x14ac:dyDescent="0.2">
      <c r="O1148">
        <v>1147</v>
      </c>
      <c r="P1148" s="10">
        <v>1368.134155273438</v>
      </c>
    </row>
    <row r="1149" spans="15:16" x14ac:dyDescent="0.2">
      <c r="O1149" s="11">
        <v>1148</v>
      </c>
      <c r="P1149" s="10">
        <v>1354.650756835938</v>
      </c>
    </row>
    <row r="1150" spans="15:16" x14ac:dyDescent="0.2">
      <c r="O1150">
        <v>1149</v>
      </c>
      <c r="P1150" s="10">
        <v>1332.004516601562</v>
      </c>
    </row>
    <row r="1151" spans="15:16" x14ac:dyDescent="0.2">
      <c r="O1151">
        <v>1150</v>
      </c>
      <c r="P1151" s="10">
        <v>1365.617919921875</v>
      </c>
    </row>
    <row r="1152" spans="15:16" x14ac:dyDescent="0.2">
      <c r="O1152" s="11">
        <v>1151</v>
      </c>
      <c r="P1152" s="10">
        <v>1324.21826171875</v>
      </c>
    </row>
    <row r="1153" spans="15:16" x14ac:dyDescent="0.2">
      <c r="O1153">
        <v>1152</v>
      </c>
      <c r="P1153" s="10">
        <v>1332.8115234375</v>
      </c>
    </row>
    <row r="1154" spans="15:16" x14ac:dyDescent="0.2">
      <c r="O1154">
        <v>1153</v>
      </c>
      <c r="P1154" s="10">
        <v>1304.990234375</v>
      </c>
    </row>
    <row r="1155" spans="15:16" x14ac:dyDescent="0.2">
      <c r="O1155" s="11">
        <v>1154</v>
      </c>
      <c r="P1155" s="10">
        <v>1337.606689453125</v>
      </c>
    </row>
    <row r="1156" spans="15:16" x14ac:dyDescent="0.2">
      <c r="O1156">
        <v>1155</v>
      </c>
      <c r="P1156" s="10">
        <v>1337.369384765625</v>
      </c>
    </row>
    <row r="1157" spans="15:16" x14ac:dyDescent="0.2">
      <c r="O1157">
        <v>1156</v>
      </c>
      <c r="P1157" s="10">
        <v>1300.574829101562</v>
      </c>
    </row>
    <row r="1158" spans="15:16" x14ac:dyDescent="0.2">
      <c r="O1158" s="11">
        <v>1157</v>
      </c>
      <c r="P1158" s="10">
        <v>1290.22509765625</v>
      </c>
    </row>
    <row r="1159" spans="15:16" x14ac:dyDescent="0.2">
      <c r="O1159">
        <v>1158</v>
      </c>
      <c r="P1159" s="10">
        <v>1302.473999023438</v>
      </c>
    </row>
    <row r="1160" spans="15:16" x14ac:dyDescent="0.2">
      <c r="O1160">
        <v>1159</v>
      </c>
      <c r="P1160" s="10">
        <v>1319.802978515625</v>
      </c>
    </row>
    <row r="1161" spans="15:16" x14ac:dyDescent="0.2">
      <c r="O1161" s="11">
        <v>1160</v>
      </c>
      <c r="P1161" s="10">
        <v>1323.31640625</v>
      </c>
    </row>
    <row r="1162" spans="15:16" x14ac:dyDescent="0.2">
      <c r="O1162">
        <v>1161</v>
      </c>
      <c r="P1162" s="10">
        <v>1272.896118164062</v>
      </c>
    </row>
    <row r="1163" spans="15:16" x14ac:dyDescent="0.2">
      <c r="O1163">
        <v>1162</v>
      </c>
      <c r="P1163" s="10">
        <v>1241.656494140625</v>
      </c>
    </row>
    <row r="1164" spans="15:16" x14ac:dyDescent="0.2">
      <c r="O1164" s="11">
        <v>1163</v>
      </c>
      <c r="P1164" s="10">
        <v>1205.146728515625</v>
      </c>
    </row>
    <row r="1165" spans="15:16" x14ac:dyDescent="0.2">
      <c r="O1165">
        <v>1164</v>
      </c>
      <c r="P1165" s="10">
        <v>1193.9423828125</v>
      </c>
    </row>
    <row r="1166" spans="15:16" x14ac:dyDescent="0.2">
      <c r="O1166">
        <v>1165</v>
      </c>
      <c r="P1166" s="10">
        <v>1184.969360351562</v>
      </c>
    </row>
    <row r="1167" spans="15:16" x14ac:dyDescent="0.2">
      <c r="O1167" s="11">
        <v>1166</v>
      </c>
      <c r="P1167" s="10">
        <v>1153.919677734375</v>
      </c>
    </row>
    <row r="1168" spans="15:16" x14ac:dyDescent="0.2">
      <c r="O1168">
        <v>1167</v>
      </c>
      <c r="P1168" s="10">
        <v>1123.819580078125</v>
      </c>
    </row>
    <row r="1169" spans="15:16" x14ac:dyDescent="0.2">
      <c r="O1169">
        <v>1168</v>
      </c>
      <c r="P1169" s="10">
        <v>1127.28515625</v>
      </c>
    </row>
    <row r="1170" spans="15:16" x14ac:dyDescent="0.2">
      <c r="O1170" s="11">
        <v>1169</v>
      </c>
      <c r="P1170" s="10">
        <v>1148.5546875</v>
      </c>
    </row>
    <row r="1171" spans="15:16" x14ac:dyDescent="0.2">
      <c r="O1171">
        <v>1170</v>
      </c>
      <c r="P1171" s="10">
        <v>1170.868774414062</v>
      </c>
    </row>
    <row r="1172" spans="15:16" x14ac:dyDescent="0.2">
      <c r="O1172">
        <v>1171</v>
      </c>
      <c r="P1172" s="10">
        <v>1149.789184570312</v>
      </c>
    </row>
    <row r="1173" spans="15:16" x14ac:dyDescent="0.2">
      <c r="O1173" s="11">
        <v>1172</v>
      </c>
      <c r="P1173" s="10">
        <v>1173.432495117188</v>
      </c>
    </row>
    <row r="1174" spans="15:16" x14ac:dyDescent="0.2">
      <c r="O1174">
        <v>1173</v>
      </c>
      <c r="P1174" s="10">
        <v>1171.05859375</v>
      </c>
    </row>
    <row r="1175" spans="15:16" x14ac:dyDescent="0.2">
      <c r="O1175">
        <v>1174</v>
      </c>
      <c r="P1175" s="10">
        <v>1183.782470703125</v>
      </c>
    </row>
    <row r="1176" spans="15:16" x14ac:dyDescent="0.2">
      <c r="O1176" s="11">
        <v>1175</v>
      </c>
      <c r="P1176" s="10">
        <v>1162.180541992188</v>
      </c>
    </row>
    <row r="1177" spans="15:16" x14ac:dyDescent="0.2">
      <c r="O1177">
        <v>1176</v>
      </c>
      <c r="P1177" s="10">
        <v>1142.81005859375</v>
      </c>
    </row>
    <row r="1178" spans="15:16" x14ac:dyDescent="0.2">
      <c r="O1178">
        <v>1177</v>
      </c>
      <c r="P1178" s="10">
        <v>1138.822021484375</v>
      </c>
    </row>
    <row r="1179" spans="15:16" x14ac:dyDescent="0.2">
      <c r="O1179" s="11">
        <v>1178</v>
      </c>
      <c r="P1179" s="10">
        <v>1110.240966796875</v>
      </c>
    </row>
    <row r="1180" spans="15:16" x14ac:dyDescent="0.2">
      <c r="O1180">
        <v>1179</v>
      </c>
      <c r="P1180" s="10">
        <v>1150.35888671875</v>
      </c>
    </row>
    <row r="1181" spans="15:16" x14ac:dyDescent="0.2">
      <c r="O1181">
        <v>1180</v>
      </c>
      <c r="P1181" s="10">
        <v>1137.967407226562</v>
      </c>
    </row>
    <row r="1182" spans="15:16" x14ac:dyDescent="0.2">
      <c r="O1182" s="11">
        <v>1181</v>
      </c>
      <c r="P1182" s="10">
        <v>1152.400512695312</v>
      </c>
    </row>
    <row r="1183" spans="15:16" x14ac:dyDescent="0.2">
      <c r="O1183">
        <v>1182</v>
      </c>
      <c r="P1183" s="10">
        <v>1171.296020507812</v>
      </c>
    </row>
    <row r="1184" spans="15:16" x14ac:dyDescent="0.2">
      <c r="O1184">
        <v>1183</v>
      </c>
      <c r="P1184" s="10">
        <v>1131.653198242188</v>
      </c>
    </row>
    <row r="1185" spans="15:16" x14ac:dyDescent="0.2">
      <c r="O1185" s="11">
        <v>1184</v>
      </c>
      <c r="P1185" s="10">
        <v>1103.594482421875</v>
      </c>
    </row>
    <row r="1186" spans="15:16" x14ac:dyDescent="0.2">
      <c r="O1186">
        <v>1185</v>
      </c>
      <c r="P1186" s="10">
        <v>1086.3603515625</v>
      </c>
    </row>
    <row r="1187" spans="15:16" x14ac:dyDescent="0.2">
      <c r="O1187">
        <v>1186</v>
      </c>
      <c r="P1187" s="10">
        <v>1058.11181640625</v>
      </c>
    </row>
    <row r="1188" spans="15:16" x14ac:dyDescent="0.2">
      <c r="O1188" s="11">
        <v>1187</v>
      </c>
      <c r="P1188" s="10">
        <v>1051.085205078125</v>
      </c>
    </row>
    <row r="1189" spans="15:16" x14ac:dyDescent="0.2">
      <c r="O1189">
        <v>1188</v>
      </c>
      <c r="P1189" s="10">
        <v>1024.165893554688</v>
      </c>
    </row>
    <row r="1190" spans="15:16" x14ac:dyDescent="0.2">
      <c r="O1190">
        <v>1189</v>
      </c>
      <c r="P1190" s="10">
        <v>1008.926147460938</v>
      </c>
    </row>
    <row r="1191" spans="15:16" x14ac:dyDescent="0.2">
      <c r="O1191" s="11">
        <v>1190</v>
      </c>
      <c r="P1191" s="10">
        <v>1000.997314453125</v>
      </c>
    </row>
    <row r="1192" spans="15:16" x14ac:dyDescent="0.2">
      <c r="O1192">
        <v>1191</v>
      </c>
      <c r="P1192" s="10">
        <v>991.3121337890625</v>
      </c>
    </row>
    <row r="1193" spans="15:16" x14ac:dyDescent="0.2">
      <c r="O1193">
        <v>1192</v>
      </c>
      <c r="P1193" s="10">
        <v>978.39849853515625</v>
      </c>
    </row>
    <row r="1194" spans="15:16" x14ac:dyDescent="0.2">
      <c r="O1194" s="11">
        <v>1193</v>
      </c>
      <c r="P1194" s="10">
        <v>994.3980712890625</v>
      </c>
    </row>
    <row r="1195" spans="15:16" x14ac:dyDescent="0.2">
      <c r="O1195">
        <v>1194</v>
      </c>
      <c r="P1195" s="10">
        <v>983.14617919921875</v>
      </c>
    </row>
    <row r="1196" spans="15:16" x14ac:dyDescent="0.2">
      <c r="O1196">
        <v>1195</v>
      </c>
      <c r="P1196" s="10">
        <v>996.3447265625</v>
      </c>
    </row>
    <row r="1197" spans="15:16" x14ac:dyDescent="0.2">
      <c r="O1197" s="11">
        <v>1196</v>
      </c>
      <c r="P1197" s="10">
        <v>1003.94091796875</v>
      </c>
    </row>
    <row r="1198" spans="15:16" x14ac:dyDescent="0.2">
      <c r="O1198">
        <v>1197</v>
      </c>
      <c r="P1198" s="10">
        <v>1028.913696289062</v>
      </c>
    </row>
    <row r="1199" spans="15:16" x14ac:dyDescent="0.2">
      <c r="O1199">
        <v>1198</v>
      </c>
      <c r="P1199" s="10">
        <v>1038.456420898438</v>
      </c>
    </row>
    <row r="1200" spans="15:16" x14ac:dyDescent="0.2">
      <c r="O1200" s="11">
        <v>1199</v>
      </c>
      <c r="P1200" s="10">
        <v>1016.474792480469</v>
      </c>
    </row>
    <row r="1201" spans="15:16" x14ac:dyDescent="0.2">
      <c r="O1201">
        <v>1200</v>
      </c>
      <c r="P1201" s="10">
        <v>1004.557983398438</v>
      </c>
    </row>
    <row r="1202" spans="15:16" x14ac:dyDescent="0.2">
      <c r="O1202">
        <v>1201</v>
      </c>
      <c r="P1202" s="10">
        <v>1024.213500976562</v>
      </c>
    </row>
    <row r="1203" spans="15:16" x14ac:dyDescent="0.2">
      <c r="O1203" s="11">
        <v>1202</v>
      </c>
      <c r="P1203" s="10">
        <v>1035.512939453125</v>
      </c>
    </row>
    <row r="1204" spans="15:16" x14ac:dyDescent="0.2">
      <c r="O1204">
        <v>1203</v>
      </c>
      <c r="P1204" s="10">
        <v>1041.16259765625</v>
      </c>
    </row>
    <row r="1205" spans="15:16" x14ac:dyDescent="0.2">
      <c r="O1205">
        <v>1204</v>
      </c>
      <c r="P1205" s="10">
        <v>1056.307739257812</v>
      </c>
    </row>
    <row r="1206" spans="15:16" x14ac:dyDescent="0.2">
      <c r="O1206" s="11">
        <v>1205</v>
      </c>
      <c r="P1206" s="10">
        <v>1054.4560546875</v>
      </c>
    </row>
    <row r="1207" spans="15:16" x14ac:dyDescent="0.2">
      <c r="O1207">
        <v>1206</v>
      </c>
      <c r="P1207" s="10">
        <v>1062.81201171875</v>
      </c>
    </row>
    <row r="1208" spans="15:16" x14ac:dyDescent="0.2">
      <c r="O1208">
        <v>1207</v>
      </c>
      <c r="P1208" s="10">
        <v>1073.82666015625</v>
      </c>
    </row>
    <row r="1209" spans="15:16" x14ac:dyDescent="0.2">
      <c r="O1209" s="11">
        <v>1208</v>
      </c>
      <c r="P1209" s="10">
        <v>1076.912475585938</v>
      </c>
    </row>
    <row r="1210" spans="15:16" x14ac:dyDescent="0.2">
      <c r="O1210">
        <v>1209</v>
      </c>
      <c r="P1210" s="10">
        <v>1070.408203125</v>
      </c>
    </row>
    <row r="1211" spans="15:16" x14ac:dyDescent="0.2">
      <c r="O1211">
        <v>1210</v>
      </c>
      <c r="P1211" s="10">
        <v>1059.5361328125</v>
      </c>
    </row>
    <row r="1212" spans="15:16" x14ac:dyDescent="0.2">
      <c r="O1212" s="11">
        <v>1211</v>
      </c>
      <c r="P1212" s="10">
        <v>1058.254272460938</v>
      </c>
    </row>
    <row r="1213" spans="15:16" x14ac:dyDescent="0.2">
      <c r="O1213">
        <v>1212</v>
      </c>
      <c r="P1213" s="10">
        <v>1055.975219726562</v>
      </c>
    </row>
    <row r="1214" spans="15:16" x14ac:dyDescent="0.2">
      <c r="O1214">
        <v>1213</v>
      </c>
      <c r="P1214" s="10">
        <v>1062.004760742188</v>
      </c>
    </row>
    <row r="1215" spans="15:16" x14ac:dyDescent="0.2">
      <c r="O1215" s="11">
        <v>1214</v>
      </c>
      <c r="P1215" s="10">
        <v>1063.191650390625</v>
      </c>
    </row>
    <row r="1216" spans="15:16" x14ac:dyDescent="0.2">
      <c r="O1216">
        <v>1215</v>
      </c>
      <c r="P1216" s="10">
        <v>1060.675537109375</v>
      </c>
    </row>
    <row r="1217" spans="15:16" x14ac:dyDescent="0.2">
      <c r="O1217">
        <v>1216</v>
      </c>
      <c r="P1217" s="10">
        <v>1030.860107421875</v>
      </c>
    </row>
    <row r="1218" spans="15:16" x14ac:dyDescent="0.2">
      <c r="O1218" s="11">
        <v>1217</v>
      </c>
      <c r="P1218" s="10">
        <v>1005.555053710938</v>
      </c>
    </row>
    <row r="1219" spans="15:16" x14ac:dyDescent="0.2">
      <c r="O1219">
        <v>1218</v>
      </c>
      <c r="P1219" s="10">
        <v>1012.771606445312</v>
      </c>
    </row>
    <row r="1220" spans="15:16" x14ac:dyDescent="0.2">
      <c r="O1220">
        <v>1219</v>
      </c>
      <c r="P1220" s="10">
        <v>1003.181213378906</v>
      </c>
    </row>
    <row r="1221" spans="15:16" x14ac:dyDescent="0.2">
      <c r="O1221" s="11">
        <v>1220</v>
      </c>
      <c r="P1221" s="10">
        <v>980.6298828125</v>
      </c>
    </row>
    <row r="1222" spans="15:16" x14ac:dyDescent="0.2">
      <c r="O1222">
        <v>1221</v>
      </c>
      <c r="P1222" s="10">
        <v>982.24407958984375</v>
      </c>
    </row>
    <row r="1223" spans="15:16" x14ac:dyDescent="0.2">
      <c r="O1223">
        <v>1222</v>
      </c>
      <c r="P1223" s="10">
        <v>1005.602722167969</v>
      </c>
    </row>
    <row r="1224" spans="15:16" x14ac:dyDescent="0.2">
      <c r="O1224" s="11">
        <v>1223</v>
      </c>
      <c r="P1224" s="10">
        <v>1010.018005371094</v>
      </c>
    </row>
    <row r="1225" spans="15:16" x14ac:dyDescent="0.2">
      <c r="O1225">
        <v>1224</v>
      </c>
      <c r="P1225" s="10">
        <v>1012.819030761719</v>
      </c>
    </row>
    <row r="1226" spans="15:16" x14ac:dyDescent="0.2">
      <c r="O1226">
        <v>1225</v>
      </c>
      <c r="P1226" s="10">
        <v>997.62652587890625</v>
      </c>
    </row>
    <row r="1227" spans="15:16" x14ac:dyDescent="0.2">
      <c r="O1227" s="11">
        <v>1226</v>
      </c>
      <c r="P1227" s="10">
        <v>991.169677734375</v>
      </c>
    </row>
    <row r="1228" spans="15:16" x14ac:dyDescent="0.2">
      <c r="O1228">
        <v>1227</v>
      </c>
      <c r="P1228" s="10">
        <v>988.1785888671875</v>
      </c>
    </row>
    <row r="1229" spans="15:16" x14ac:dyDescent="0.2">
      <c r="O1229">
        <v>1228</v>
      </c>
      <c r="P1229" s="10">
        <v>975.69232177734375</v>
      </c>
    </row>
    <row r="1230" spans="15:16" x14ac:dyDescent="0.2">
      <c r="O1230" s="11">
        <v>1229</v>
      </c>
      <c r="P1230" s="10">
        <v>989.080810546875</v>
      </c>
    </row>
    <row r="1231" spans="15:16" x14ac:dyDescent="0.2">
      <c r="O1231">
        <v>1230</v>
      </c>
      <c r="P1231" s="10">
        <v>951.4317626953125</v>
      </c>
    </row>
    <row r="1232" spans="15:16" x14ac:dyDescent="0.2">
      <c r="O1232">
        <v>1231</v>
      </c>
      <c r="P1232" s="10">
        <v>980.67742919921875</v>
      </c>
    </row>
    <row r="1233" spans="15:16" x14ac:dyDescent="0.2">
      <c r="O1233" s="11">
        <v>1232</v>
      </c>
      <c r="P1233" s="10">
        <v>997.62652587890625</v>
      </c>
    </row>
    <row r="1234" spans="15:16" x14ac:dyDescent="0.2">
      <c r="O1234">
        <v>1233</v>
      </c>
      <c r="P1234" s="10">
        <v>1010.872375488281</v>
      </c>
    </row>
    <row r="1235" spans="15:16" x14ac:dyDescent="0.2">
      <c r="O1235">
        <v>1234</v>
      </c>
      <c r="P1235" s="10">
        <v>1031.809814453125</v>
      </c>
    </row>
    <row r="1236" spans="15:16" x14ac:dyDescent="0.2">
      <c r="O1236" s="11">
        <v>1235</v>
      </c>
      <c r="P1236" s="10">
        <v>1025.0205078125</v>
      </c>
    </row>
    <row r="1237" spans="15:16" x14ac:dyDescent="0.2">
      <c r="O1237">
        <v>1236</v>
      </c>
      <c r="P1237" s="10">
        <v>1062.621948242188</v>
      </c>
    </row>
    <row r="1238" spans="15:16" x14ac:dyDescent="0.2">
      <c r="O1238">
        <v>1237</v>
      </c>
      <c r="P1238" s="10">
        <v>1073.351928710938</v>
      </c>
    </row>
    <row r="1239" spans="15:16" x14ac:dyDescent="0.2">
      <c r="O1239" s="11">
        <v>1238</v>
      </c>
      <c r="P1239" s="10">
        <v>1069.506103515625</v>
      </c>
    </row>
    <row r="1240" spans="15:16" x14ac:dyDescent="0.2">
      <c r="O1240">
        <v>1239</v>
      </c>
      <c r="P1240" s="10">
        <v>1081.09033203125</v>
      </c>
    </row>
    <row r="1241" spans="15:16" x14ac:dyDescent="0.2">
      <c r="O1241">
        <v>1240</v>
      </c>
      <c r="P1241" s="10">
        <v>1075.867919921875</v>
      </c>
    </row>
  </sheetData>
  <pageMargins left="0.7" right="0.7" top="0.75" bottom="0.75" header="0.3" footer="0.3"/>
  <ignoredErrors>
    <ignoredError sqref="Q3:Q18" formulaRange="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MacroIndicators</vt:lpstr>
      <vt:lpstr>SectorProspects</vt:lpstr>
      <vt:lpstr>SectorMedianValues</vt:lpstr>
      <vt:lpstr>SectorStockMapping</vt:lpstr>
      <vt:lpstr>CompanyFundamentalsData</vt:lpstr>
      <vt:lpstr>CompanyEarningsCall</vt:lpstr>
      <vt:lpstr>CompanyValuation</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RIDHIMA GUPTA</dc:creator>
  <cp:lastModifiedBy>RIDHIMA GUPTA</cp:lastModifiedBy>
  <dcterms:created xsi:type="dcterms:W3CDTF">2025-07-16T04:27:15Z</dcterms:created>
  <dcterms:modified xsi:type="dcterms:W3CDTF">2025-10-08T13:07:16Z</dcterms:modified>
</cp:coreProperties>
</file>